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xml" PartName="/xl/slicers/slicer3.xml"/>
  <Override ContentType="application/vnd.ms-excel.slicer+xml" PartName="/xl/slicers/slicer2.xml"/>
  <Override ContentType="application/vnd.ms-excel.slicer+xml" PartName="/xl/slicers/slicer4.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ent_exam_scores" sheetId="1" r:id="rId4"/>
    <sheet state="visible" name="daseboard" sheetId="2" r:id="rId5"/>
    <sheet state="visible" name="examscore vs previousscore" sheetId="3" r:id="rId6"/>
    <sheet state="visible" name="previousscore vs attendenceperc" sheetId="4" r:id="rId7"/>
    <sheet state="visible" name="age vs hourstudied" sheetId="5" r:id="rId8"/>
  </sheets>
  <definedNames>
    <definedName hidden="1" localSheetId="2" name="Z_272196DD_08AA_460E_BDD0_046E8102EF41_.wvu.FilterData">'examscore vs previousscore'!$A$1:$B$255</definedName>
    <definedName hidden="1" localSheetId="2" name="Z_272196DD_08AA_460E_BDD0_046E8102EF41_.wvu.FilterData">'examscore vs previousscore'!$A$1:$B$255</definedName>
    <definedName hidden="1" localSheetId="3" name="Z_272196DD_08AA_460E_BDD0_046E8102EF41_.wvu.FilterData">'previousscore vs attendenceperc'!$A$1:$B$367</definedName>
    <definedName hidden="1" localSheetId="3" name="Z_272196DD_08AA_460E_BDD0_046E8102EF41_.wvu.FilterData">'previousscore vs attendenceperc'!$A$1:$B$367</definedName>
    <definedName hidden="1" localSheetId="4" name="Z_272196DD_08AA_460E_BDD0_046E8102EF41_.wvu.FilterData">'age vs hourstudied'!$A$1:$B$284</definedName>
    <definedName hidden="1" localSheetId="4" name="Z_272196DD_08AA_460E_BDD0_046E8102EF41_.wvu.FilterData">'age vs hourstudied'!$A$1:$B$284</definedName>
    <definedName name="SlicerCache_Table_1_Col_2">#N/A</definedName>
    <definedName name="SlicerCache_Table_2_Col_1">#N/A</definedName>
    <definedName name="SlicerCache_Table_3_Col_2">#N/A</definedName>
  </definedNames>
  <calcPr/>
  <customWorkbookViews>
    <customWorkbookView activeSheetId="0" maximized="1" windowHeight="0" windowWidth="0" guid="{272196DD-08AA-460E-BDD0-046E8102EF41}" name="Filter 1"/>
  </customWorkbookViews>
  <pivotCaches>
    <pivotCache cacheId="0" r:id="rId9"/>
  </pivotCaches>
  <extLst>
    <ext uri="{46BE6895-7355-4a93-B00E-2C351335B9C9}">
      <x15:slicerCaches>
        <x14:slicerCache r:id="rId10"/>
        <x14:slicerCache r:id="rId11"/>
        <x14:slicerCache r:id="rId12"/>
      </x15:slicerCaches>
    </ext>
  </extLst>
</workbook>
</file>

<file path=xl/sharedStrings.xml><?xml version="1.0" encoding="utf-8"?>
<sst xmlns="http://schemas.openxmlformats.org/spreadsheetml/2006/main" count="541" uniqueCount="518">
  <si>
    <t>student_id</t>
  </si>
  <si>
    <t>hours_studied</t>
  </si>
  <si>
    <t>sleep_hours</t>
  </si>
  <si>
    <t>attendance_percent</t>
  </si>
  <si>
    <t>previous_scores</t>
  </si>
  <si>
    <t>exam_score</t>
  </si>
  <si>
    <t>age</t>
  </si>
  <si>
    <t>S001</t>
  </si>
  <si>
    <t>vlookup</t>
  </si>
  <si>
    <t>S002</t>
  </si>
  <si>
    <t>studentid</t>
  </si>
  <si>
    <t>S003</t>
  </si>
  <si>
    <t>S004</t>
  </si>
  <si>
    <t>examscore</t>
  </si>
  <si>
    <t>S005</t>
  </si>
  <si>
    <t>S006</t>
  </si>
  <si>
    <t>S007</t>
  </si>
  <si>
    <t>index</t>
  </si>
  <si>
    <t>S008</t>
  </si>
  <si>
    <t>S009</t>
  </si>
  <si>
    <t>S010</t>
  </si>
  <si>
    <t>match</t>
  </si>
  <si>
    <t>S011</t>
  </si>
  <si>
    <t>S012</t>
  </si>
  <si>
    <t>S013</t>
  </si>
  <si>
    <t>if</t>
  </si>
  <si>
    <t>S014</t>
  </si>
  <si>
    <t>S015</t>
  </si>
  <si>
    <t>S016</t>
  </si>
  <si>
    <t>S017</t>
  </si>
  <si>
    <t>nested</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</si>
  <si>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</si>
  <si>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</si>
  <si>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</si>
  <si>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</si>
  <si>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</si>
  <si>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</si>
  <si>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</si>
  <si>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</si>
  <si>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</si>
  <si>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</si>
  <si>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</si>
  <si>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</si>
  <si>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</si>
  <si>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</si>
  <si>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</si>
  <si>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</si>
  <si>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</si>
  <si>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</si>
  <si>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</si>
  <si>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</si>
  <si>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</si>
  <si>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</si>
  <si>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</si>
  <si>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</si>
  <si>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</si>
  <si>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</si>
  <si>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</si>
  <si>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</si>
  <si>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</si>
  <si>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</si>
  <si>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</si>
  <si>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</si>
  <si>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</si>
  <si>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</si>
  <si>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</si>
  <si>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</si>
  <si>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</si>
  <si>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</si>
  <si>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</si>
  <si>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</si>
  <si>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</si>
  <si>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</si>
  <si>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</si>
  <si>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</si>
  <si>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</si>
  <si>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</si>
  <si>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</si>
  <si>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</si>
  <si>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</si>
  <si>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</si>
  <si>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</si>
  <si>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</si>
  <si>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</si>
  <si>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</si>
  <si>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</si>
  <si>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</si>
  <si>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</si>
  <si>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</si>
  <si>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</si>
  <si>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</si>
  <si>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</si>
  <si>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</si>
  <si>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</si>
  <si>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</si>
  <si>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</si>
  <si>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</si>
  <si>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</si>
  <si>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</si>
  <si>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</si>
  <si>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</si>
  <si>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</si>
  <si>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</si>
  <si>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</si>
  <si>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</si>
  <si>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</si>
  <si>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</si>
  <si>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</si>
  <si>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</si>
  <si>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</si>
  <si>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</si>
  <si>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</si>
  <si>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</si>
  <si>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</si>
  <si>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</si>
  <si>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</si>
  <si>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</si>
  <si>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</si>
  <si>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</si>
  <si>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</si>
  <si>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</si>
  <si>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</si>
  <si>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</si>
  <si>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</si>
  <si>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</si>
  <si>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</si>
  <si>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</si>
  <si>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</si>
  <si>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</si>
  <si>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</si>
  <si>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</si>
  <si>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</si>
  <si>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</si>
  <si>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</si>
  <si>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</si>
  <si>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</si>
  <si>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</si>
  <si>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</si>
  <si>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</si>
  <si>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</si>
  <si>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</si>
  <si>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</si>
  <si>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</si>
  <si>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</si>
  <si>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</si>
  <si>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</si>
  <si>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</si>
  <si>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</si>
  <si>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</si>
  <si>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</si>
  <si>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</si>
  <si>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</si>
  <si>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</si>
  <si>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</si>
  <si>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</si>
  <si>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</si>
  <si>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</si>
  <si>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</si>
  <si>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</si>
  <si>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</si>
  <si>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</si>
  <si>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</si>
  <si>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</si>
  <si>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</si>
  <si>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</si>
  <si>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</si>
  <si>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</si>
  <si>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</si>
  <si>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</si>
  <si>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</si>
  <si>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</si>
  <si>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</si>
  <si>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</si>
  <si>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</si>
  <si>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</si>
  <si>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</si>
  <si>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</si>
  <si>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</si>
  <si>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</si>
  <si>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</si>
  <si>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</si>
  <si>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</si>
  <si>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</si>
  <si>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</si>
  <si>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</si>
  <si>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</si>
  <si>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</si>
  <si>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</si>
  <si>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</si>
  <si>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</si>
  <si>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</si>
  <si>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</si>
  <si>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</si>
  <si>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</si>
  <si>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</si>
  <si>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</si>
  <si>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</si>
  <si>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</si>
  <si>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</si>
  <si>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</si>
  <si>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</si>
  <si>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</si>
  <si>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</si>
  <si>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</si>
  <si>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</si>
  <si>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</si>
  <si>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</si>
  <si>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</si>
  <si>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</si>
  <si>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</si>
  <si>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</si>
  <si>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</si>
  <si>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</si>
  <si>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</si>
  <si>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40 Total</t>
  </si>
  <si>
    <t>41 Total</t>
  </si>
  <si>
    <t>42 Total</t>
  </si>
  <si>
    <t>43 Total</t>
  </si>
  <si>
    <t>44 Total</t>
  </si>
  <si>
    <t>45 Total</t>
  </si>
  <si>
    <t>46 Total</t>
  </si>
  <si>
    <t>47 Total</t>
  </si>
  <si>
    <t>48 Total</t>
  </si>
  <si>
    <t>49 Total</t>
  </si>
  <si>
    <t>50 Total</t>
  </si>
  <si>
    <t>51 Total</t>
  </si>
  <si>
    <t>52 Total</t>
  </si>
  <si>
    <t>53 Total</t>
  </si>
  <si>
    <t>54 Total</t>
  </si>
  <si>
    <t>55 Total</t>
  </si>
  <si>
    <t>56 Total</t>
  </si>
  <si>
    <t>57 Total</t>
  </si>
  <si>
    <t>58 Total</t>
  </si>
  <si>
    <t>59 Total</t>
  </si>
  <si>
    <t>60 Total</t>
  </si>
  <si>
    <t>61 Total</t>
  </si>
  <si>
    <t>62 Total</t>
  </si>
  <si>
    <t>63 Total</t>
  </si>
  <si>
    <t>64 Total</t>
  </si>
  <si>
    <t>65 Total</t>
  </si>
  <si>
    <t>66 Total</t>
  </si>
  <si>
    <t>67 Total</t>
  </si>
  <si>
    <t>68 Total</t>
  </si>
  <si>
    <t>69 Total</t>
  </si>
  <si>
    <t>70 Total</t>
  </si>
  <si>
    <t>71 Total</t>
  </si>
  <si>
    <t>73 Total</t>
  </si>
  <si>
    <t>74 Total</t>
  </si>
  <si>
    <t>75 Total</t>
  </si>
  <si>
    <t>76 Total</t>
  </si>
  <si>
    <t>77 Total</t>
  </si>
  <si>
    <t>78 Total</t>
  </si>
  <si>
    <t>79 Total</t>
  </si>
  <si>
    <t>80 Total</t>
  </si>
  <si>
    <t>81 Total</t>
  </si>
  <si>
    <t>82 Total</t>
  </si>
  <si>
    <t>83 Total</t>
  </si>
  <si>
    <t>84 Total</t>
  </si>
  <si>
    <t>85 Total</t>
  </si>
  <si>
    <t>86 Total</t>
  </si>
  <si>
    <t>87 Total</t>
  </si>
  <si>
    <t>88 Total</t>
  </si>
  <si>
    <t>89 Total</t>
  </si>
  <si>
    <t>90 Total</t>
  </si>
  <si>
    <t>91 Total</t>
  </si>
  <si>
    <t>92 Total</t>
  </si>
  <si>
    <t>93 Total</t>
  </si>
  <si>
    <t>95 Total</t>
  </si>
  <si>
    <t>Grand Total</t>
  </si>
  <si>
    <t>50.3 Total</t>
  </si>
  <si>
    <t>50.5 Total</t>
  </si>
  <si>
    <t>51.2 Total</t>
  </si>
  <si>
    <t>51.3 Total</t>
  </si>
  <si>
    <t>51.4 Total</t>
  </si>
  <si>
    <t>51.5 Total</t>
  </si>
  <si>
    <t>52.5 Total</t>
  </si>
  <si>
    <t>53.2 Total</t>
  </si>
  <si>
    <t>53.6 Total</t>
  </si>
  <si>
    <t>53.8 Total</t>
  </si>
  <si>
    <t>53.9 Total</t>
  </si>
  <si>
    <t>54.1 Total</t>
  </si>
  <si>
    <t>54.2 Total</t>
  </si>
  <si>
    <t>54.3 Total</t>
  </si>
  <si>
    <t>55.1 Total</t>
  </si>
  <si>
    <t>55.3 Total</t>
  </si>
  <si>
    <t>55.4 Total</t>
  </si>
  <si>
    <t>55.7 Total</t>
  </si>
  <si>
    <t>56.1 Total</t>
  </si>
  <si>
    <t>56.3 Total</t>
  </si>
  <si>
    <t>56.4 Total</t>
  </si>
  <si>
    <t>56.8 Total</t>
  </si>
  <si>
    <t>56.9 Total</t>
  </si>
  <si>
    <t>57.6 Total</t>
  </si>
  <si>
    <t>58.3 Total</t>
  </si>
  <si>
    <t>58.4 Total</t>
  </si>
  <si>
    <t>58.5 Total</t>
  </si>
  <si>
    <t>58.8 Total</t>
  </si>
  <si>
    <t>59.1 Total</t>
  </si>
  <si>
    <t>59.7 Total</t>
  </si>
  <si>
    <t>60.3 Total</t>
  </si>
  <si>
    <t>60.6 Total</t>
  </si>
  <si>
    <t>60.7 Total</t>
  </si>
  <si>
    <t>60.9 Total</t>
  </si>
  <si>
    <t>61.2 Total</t>
  </si>
  <si>
    <t>61.6 Total</t>
  </si>
  <si>
    <t>62.2 Total</t>
  </si>
  <si>
    <t>62.4 Total</t>
  </si>
  <si>
    <t>62.5 Total</t>
  </si>
  <si>
    <t>62.6 Total</t>
  </si>
  <si>
    <t>63.4 Total</t>
  </si>
  <si>
    <t>63.5 Total</t>
  </si>
  <si>
    <t>63.6 Total</t>
  </si>
  <si>
    <t>63.7 Total</t>
  </si>
  <si>
    <t>63.8 Total</t>
  </si>
  <si>
    <t>64.3 Total</t>
  </si>
  <si>
    <t>65.6 Total</t>
  </si>
  <si>
    <t>66.3 Total</t>
  </si>
  <si>
    <t>66.8 Total</t>
  </si>
  <si>
    <t>67.1 Total</t>
  </si>
  <si>
    <t>67.4 Total</t>
  </si>
  <si>
    <t>67.5 Total</t>
  </si>
  <si>
    <t>67.6 Total</t>
  </si>
  <si>
    <t>68.5 Total</t>
  </si>
  <si>
    <t>68.9 Total</t>
  </si>
  <si>
    <t>69.7 Total</t>
  </si>
  <si>
    <t>69.8 Total</t>
  </si>
  <si>
    <t>70.2 Total</t>
  </si>
  <si>
    <t>70.4 Total</t>
  </si>
  <si>
    <t>70.7 Total</t>
  </si>
  <si>
    <t>70.8 Total</t>
  </si>
  <si>
    <t>71.3 Total</t>
  </si>
  <si>
    <t>71.4 Total</t>
  </si>
  <si>
    <t>71.8 Total</t>
  </si>
  <si>
    <t>72.1 Total</t>
  </si>
  <si>
    <t>72.8 Total</t>
  </si>
  <si>
    <t>73.1 Total</t>
  </si>
  <si>
    <t>73.2 Total</t>
  </si>
  <si>
    <t>73.4 Total</t>
  </si>
  <si>
    <t>73.7 Total</t>
  </si>
  <si>
    <t>73.8 Total</t>
  </si>
  <si>
    <t>74.2 Total</t>
  </si>
  <si>
    <t>74.7 Total</t>
  </si>
  <si>
    <t>75.2 Total</t>
  </si>
  <si>
    <t>75.3 Total</t>
  </si>
  <si>
    <t>75.8 Total</t>
  </si>
  <si>
    <t>75.9 Total</t>
  </si>
  <si>
    <t>76.1 Total</t>
  </si>
  <si>
    <t>76.9 Total</t>
  </si>
  <si>
    <t>77.1 Total</t>
  </si>
  <si>
    <t>77.3 Total</t>
  </si>
  <si>
    <t>77.4 Total</t>
  </si>
  <si>
    <t>78.2 Total</t>
  </si>
  <si>
    <t>79.2 Total</t>
  </si>
  <si>
    <t>79.8 Total</t>
  </si>
  <si>
    <t>80.2 Total</t>
  </si>
  <si>
    <t>80.4 Total</t>
  </si>
  <si>
    <t>80.5 Total</t>
  </si>
  <si>
    <t>80.6 Total</t>
  </si>
  <si>
    <t>81.1 Total</t>
  </si>
  <si>
    <t>81.3 Total</t>
  </si>
  <si>
    <t>81.4 Total</t>
  </si>
  <si>
    <t>81.5 Total</t>
  </si>
  <si>
    <t>81.6 Total</t>
  </si>
  <si>
    <t>81.8 Total</t>
  </si>
  <si>
    <t>81.9 Total</t>
  </si>
  <si>
    <t>82.1 Total</t>
  </si>
  <si>
    <t>82.5 Total</t>
  </si>
  <si>
    <t>82.6 Total</t>
  </si>
  <si>
    <t>82.8 Total</t>
  </si>
  <si>
    <t>83.4 Total</t>
  </si>
  <si>
    <t>83.5 Total</t>
  </si>
  <si>
    <t>83.6 Total</t>
  </si>
  <si>
    <t>83.9 Total</t>
  </si>
  <si>
    <t>84.5 Total</t>
  </si>
  <si>
    <t>84.7 Total</t>
  </si>
  <si>
    <t>84.8 Total</t>
  </si>
  <si>
    <t>85.1 Total</t>
  </si>
  <si>
    <t>85.3 Total</t>
  </si>
  <si>
    <t>85.4 Total</t>
  </si>
  <si>
    <t>85.8 Total</t>
  </si>
  <si>
    <t>86.6 Total</t>
  </si>
  <si>
    <t>86.7 Total</t>
  </si>
  <si>
    <t>87.2 Total</t>
  </si>
  <si>
    <t>87.4 Total</t>
  </si>
  <si>
    <t>87.5 Total</t>
  </si>
  <si>
    <t>87.6 Total</t>
  </si>
  <si>
    <t>87.7 Total</t>
  </si>
  <si>
    <t>88.1 Total</t>
  </si>
  <si>
    <t>88.3 Total</t>
  </si>
  <si>
    <t>88.5 Total</t>
  </si>
  <si>
    <t>88.6 Total</t>
  </si>
  <si>
    <t>89.1 Total</t>
  </si>
  <si>
    <t>89.8 Total</t>
  </si>
  <si>
    <t>89.9 Total</t>
  </si>
  <si>
    <t>90.1 Total</t>
  </si>
  <si>
    <t>90.4 Total</t>
  </si>
  <si>
    <t>90.9 Total</t>
  </si>
  <si>
    <t>91.1 Total</t>
  </si>
  <si>
    <t>91.4 Total</t>
  </si>
  <si>
    <t>91.5 Total</t>
  </si>
  <si>
    <t>91.6 Total</t>
  </si>
  <si>
    <t>92.4 Total</t>
  </si>
  <si>
    <t>92.5 Total</t>
  </si>
  <si>
    <t>92.6 Total</t>
  </si>
  <si>
    <t>92.7 Total</t>
  </si>
  <si>
    <t>92.8 Total</t>
  </si>
  <si>
    <t>94 Total</t>
  </si>
  <si>
    <t>94.1 Total</t>
  </si>
  <si>
    <t>94.6 Total</t>
  </si>
  <si>
    <t>94.9 Total</t>
  </si>
  <si>
    <t>95.1 Total</t>
  </si>
  <si>
    <t>95.2 Total</t>
  </si>
  <si>
    <t>97.4 Total</t>
  </si>
  <si>
    <t>97.5 Total</t>
  </si>
  <si>
    <t>97.7 Total</t>
  </si>
  <si>
    <t>97.9 Total</t>
  </si>
  <si>
    <t>98 Total</t>
  </si>
  <si>
    <t>98.2 Total</t>
  </si>
  <si>
    <t>98.3 Total</t>
  </si>
  <si>
    <t>99.2 Total</t>
  </si>
  <si>
    <t>99.4 Total</t>
  </si>
  <si>
    <t>100 Total</t>
  </si>
  <si>
    <t>1 Total</t>
  </si>
  <si>
    <t>1.1 Total</t>
  </si>
  <si>
    <t>1.2 Total</t>
  </si>
  <si>
    <t>1.3 Total</t>
  </si>
  <si>
    <t>1.4 Total</t>
  </si>
  <si>
    <t>1.5 Total</t>
  </si>
  <si>
    <t>1.6 Total</t>
  </si>
  <si>
    <t>1.7 Total</t>
  </si>
  <si>
    <t>1.8 Total</t>
  </si>
  <si>
    <t>1.9 Total</t>
  </si>
  <si>
    <t>2 Total</t>
  </si>
  <si>
    <t>2.1 Total</t>
  </si>
  <si>
    <t>2.2 Total</t>
  </si>
  <si>
    <t>2.3 Total</t>
  </si>
  <si>
    <t>2.4 Total</t>
  </si>
  <si>
    <t>2.5 Total</t>
  </si>
  <si>
    <t>2.7 Total</t>
  </si>
  <si>
    <t>2.8 Total</t>
  </si>
  <si>
    <t>2.9 Total</t>
  </si>
  <si>
    <t>3 Total</t>
  </si>
  <si>
    <t>3.1 Total</t>
  </si>
  <si>
    <t>3.2 Total</t>
  </si>
  <si>
    <t>3.3 Total</t>
  </si>
  <si>
    <t>3.4 Total</t>
  </si>
  <si>
    <t>3.5 Total</t>
  </si>
  <si>
    <t>3.6 Total</t>
  </si>
  <si>
    <t>3.7 Total</t>
  </si>
  <si>
    <t>3.9 Total</t>
  </si>
  <si>
    <t>4 Total</t>
  </si>
  <si>
    <t>4.1 Total</t>
  </si>
  <si>
    <t>4.2 Total</t>
  </si>
  <si>
    <t>4.3 Total</t>
  </si>
  <si>
    <t>4.4 Total</t>
  </si>
  <si>
    <t>4.5 Total</t>
  </si>
  <si>
    <t>4.6 Total</t>
  </si>
  <si>
    <t>4.7 Total</t>
  </si>
  <si>
    <t>5 Total</t>
  </si>
  <si>
    <t>5.1 Total</t>
  </si>
  <si>
    <t>5.2 Total</t>
  </si>
  <si>
    <t>5.4 Total</t>
  </si>
  <si>
    <t>5.6 Total</t>
  </si>
  <si>
    <t>5.7 Total</t>
  </si>
  <si>
    <t>5.8 Total</t>
  </si>
  <si>
    <t>5.9 Total</t>
  </si>
  <si>
    <t>6 Total</t>
  </si>
  <si>
    <t>6.1 Total</t>
  </si>
  <si>
    <t>6.2 Total</t>
  </si>
  <si>
    <t>6.3 Total</t>
  </si>
  <si>
    <t>6.5 Total</t>
  </si>
  <si>
    <t>6.6 Total</t>
  </si>
  <si>
    <t>6.7 Total</t>
  </si>
  <si>
    <t>6.8 Total</t>
  </si>
  <si>
    <t>6.9 Total</t>
  </si>
  <si>
    <t>7 Total</t>
  </si>
  <si>
    <t>7.1 Total</t>
  </si>
  <si>
    <t>7.2 Total</t>
  </si>
  <si>
    <t>7.3 Total</t>
  </si>
  <si>
    <t>7.4 Total</t>
  </si>
  <si>
    <t>7.5 Total</t>
  </si>
  <si>
    <t>7.6 Total</t>
  </si>
  <si>
    <t>7.7 Total</t>
  </si>
  <si>
    <t>7.8 Total</t>
  </si>
  <si>
    <t>7.9 Total</t>
  </si>
  <si>
    <t>8 Total</t>
  </si>
  <si>
    <t>8.1 Total</t>
  </si>
  <si>
    <t>8.2 Total</t>
  </si>
  <si>
    <t>8.4 Total</t>
  </si>
  <si>
    <t>8.5 Total</t>
  </si>
  <si>
    <t>8.7 Total</t>
  </si>
  <si>
    <t>8.8 Total</t>
  </si>
  <si>
    <t>8.9 Total</t>
  </si>
  <si>
    <t>9 Total</t>
  </si>
  <si>
    <t>9.1 Total</t>
  </si>
  <si>
    <t>9.4 Total</t>
  </si>
  <si>
    <t>9.5 Total</t>
  </si>
  <si>
    <t>9.6 Total</t>
  </si>
  <si>
    <t>9.7 Total</t>
  </si>
  <si>
    <t>9.9 Total</t>
  </si>
  <si>
    <t>10.1 Total</t>
  </si>
  <si>
    <t>10.2 Total</t>
  </si>
  <si>
    <t>10.3 Total</t>
  </si>
  <si>
    <t>10.5 Total</t>
  </si>
  <si>
    <t>10.6 Total</t>
  </si>
  <si>
    <t>10.7 Total</t>
  </si>
  <si>
    <t>10.8 Total</t>
  </si>
  <si>
    <t>10.9 Total</t>
  </si>
  <si>
    <t>11 Total</t>
  </si>
  <si>
    <t>11.1 Total</t>
  </si>
  <si>
    <t>11.2 Total</t>
  </si>
  <si>
    <t>11.3 Total</t>
  </si>
  <si>
    <t>11.4 Total</t>
  </si>
  <si>
    <t>11.5 Total</t>
  </si>
  <si>
    <t>11.7 Total</t>
  </si>
  <si>
    <t>11.8 Total</t>
  </si>
  <si>
    <t>11.9 Total</t>
  </si>
  <si>
    <t>12 Total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</si>
</sst>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microsoft.com/office/2007/relationships/slicerCache" Target="slicerCaches/slicerCache2.xml"/><Relationship Id="rId10" Type="http://schemas.microsoft.com/office/2007/relationships/slicerCache" Target="slicerCaches/slicerCache1.xml"/><Relationship Id="rId12" Type="http://schemas.microsoft.com/office/2007/relationships/slicerCache" Target="slicerCaches/slicerCache3.xml"/><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exam_score vs. previous_scores</a:t>
            </a:r>
          </a:p>
        </c:rich>
      </c:tx>
      <c:overlay val="0"/>
    </c:title>
    <c:plotArea>
      <c:layout/>
      <c:scatterChart>
        <c:scatterStyle val="lineMarker"/>
        <c:varyColors val="0"/>
        <c:ser>
          <c:idx val="0"/>
          <c:order val="0"/>
          <c:tx>
            <c:strRef>
              <c:f>'examscore vs previousscore'!$B$1</c:f>
            </c:strRef>
          </c:tx>
          <c:spPr>
            <a:ln>
              <a:noFill/>
            </a:ln>
          </c:spPr>
          <c:marker>
            <c:symbol val="circle"/>
            <c:size val="7"/>
            <c:spPr>
              <a:solidFill>
                <a:schemeClr val="accent1"/>
              </a:solidFill>
              <a:ln cmpd="sng">
                <a:solidFill>
                  <a:schemeClr val="accent1"/>
                </a:solidFill>
              </a:ln>
            </c:spPr>
          </c:marker>
          <c:xVal>
            <c:numRef>
              <c:f>'examscore vs previousscore'!$A$2:$A$255</c:f>
            </c:numRef>
          </c:xVal>
          <c:yVal>
            <c:numRef>
              <c:f>'examscore vs previousscore'!$B$2:$B$255</c:f>
              <c:numCache/>
            </c:numRef>
          </c:yVal>
        </c:ser>
        <c:dLbls>
          <c:showLegendKey val="0"/>
          <c:showVal val="0"/>
          <c:showCatName val="0"/>
          <c:showSerName val="0"/>
          <c:showPercent val="0"/>
          <c:showBubbleSize val="0"/>
        </c:dLbls>
        <c:axId val="1738755844"/>
        <c:axId val="88756635"/>
      </c:scatterChart>
      <c:valAx>
        <c:axId val="173875584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previous_scores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8756635"/>
      </c:valAx>
      <c:valAx>
        <c:axId val="887566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exam_score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3875584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previous_scores vs. attendance_percent</a:t>
            </a:r>
          </a:p>
        </c:rich>
      </c:tx>
      <c:overlay val="0"/>
    </c:title>
    <c:plotArea>
      <c:layout/>
      <c:scatterChart>
        <c:scatterStyle val="lineMarker"/>
        <c:varyColors val="0"/>
        <c:ser>
          <c:idx val="0"/>
          <c:order val="0"/>
          <c:tx>
            <c:strRef>
              <c:f>'previousscore vs attendenceperc'!$B$1</c:f>
            </c:strRef>
          </c:tx>
          <c:spPr>
            <a:ln>
              <a:noFill/>
            </a:ln>
          </c:spPr>
          <c:marker>
            <c:symbol val="circle"/>
            <c:size val="7"/>
            <c:spPr>
              <a:solidFill>
                <a:schemeClr val="accent1"/>
              </a:solidFill>
              <a:ln cmpd="sng">
                <a:solidFill>
                  <a:schemeClr val="accent1"/>
                </a:solidFill>
              </a:ln>
            </c:spPr>
          </c:marker>
          <c:xVal>
            <c:numRef>
              <c:f>'previousscore vs attendenceperc'!$A$2:$A$367</c:f>
            </c:numRef>
          </c:xVal>
          <c:yVal>
            <c:numRef>
              <c:f>'previousscore vs attendenceperc'!$B$2:$B$367</c:f>
              <c:numCache/>
            </c:numRef>
          </c:yVal>
        </c:ser>
        <c:dLbls>
          <c:showLegendKey val="0"/>
          <c:showVal val="0"/>
          <c:showCatName val="0"/>
          <c:showSerName val="0"/>
          <c:showPercent val="0"/>
          <c:showBubbleSize val="0"/>
        </c:dLbls>
        <c:axId val="1058023357"/>
        <c:axId val="381757713"/>
      </c:scatterChart>
      <c:valAx>
        <c:axId val="105802335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attendance_percent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81757713"/>
      </c:valAx>
      <c:valAx>
        <c:axId val="3817577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previous_scores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5802335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age vs. hours_studied</a:t>
            </a:r>
          </a:p>
        </c:rich>
      </c:tx>
      <c:overlay val="0"/>
    </c:title>
    <c:plotArea>
      <c:layout/>
      <c:scatterChart>
        <c:scatterStyle val="lineMarker"/>
        <c:varyColors val="0"/>
        <c:ser>
          <c:idx val="0"/>
          <c:order val="0"/>
          <c:tx>
            <c:strRef>
              <c:f>'age vs hourstudied'!$B$1</c:f>
            </c:strRef>
          </c:tx>
          <c:spPr>
            <a:ln>
              <a:noFill/>
            </a:ln>
          </c:spPr>
          <c:marker>
            <c:symbol val="circle"/>
            <c:size val="7"/>
            <c:spPr>
              <a:solidFill>
                <a:schemeClr val="accent1"/>
              </a:solidFill>
              <a:ln cmpd="sng">
                <a:solidFill>
                  <a:schemeClr val="accent1"/>
                </a:solidFill>
              </a:ln>
            </c:spPr>
          </c:marker>
          <c:xVal>
            <c:numRef>
              <c:f>'age vs hourstudied'!$A$2:$A$284</c:f>
            </c:numRef>
          </c:xVal>
          <c:yVal>
            <c:numRef>
              <c:f>'age vs hourstudied'!$B$2:$B$284</c:f>
              <c:numCache/>
            </c:numRef>
          </c:yVal>
        </c:ser>
        <c:dLbls>
          <c:showLegendKey val="0"/>
          <c:showVal val="0"/>
          <c:showCatName val="0"/>
          <c:showSerName val="0"/>
          <c:showPercent val="0"/>
          <c:showBubbleSize val="0"/>
        </c:dLbls>
        <c:axId val="1972383349"/>
        <c:axId val="1958583668"/>
      </c:scatterChart>
      <c:valAx>
        <c:axId val="197238334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hours_studied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58583668"/>
      </c:valAx>
      <c:valAx>
        <c:axId val="19585836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72383349"/>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exam_score vs. previous_scores</a:t>
            </a:r>
          </a:p>
        </c:rich>
      </c:tx>
      <c:overlay val="0"/>
    </c:title>
    <c:plotArea>
      <c:layout/>
      <c:scatterChart>
        <c:scatterStyle val="lineMarker"/>
        <c:varyColors val="0"/>
        <c:ser>
          <c:idx val="0"/>
          <c:order val="0"/>
          <c:tx>
            <c:strRef>
              <c:f>'examscore vs previousscore'!$B$1</c:f>
            </c:strRef>
          </c:tx>
          <c:spPr>
            <a:ln>
              <a:noFill/>
            </a:ln>
          </c:spPr>
          <c:marker>
            <c:symbol val="circle"/>
            <c:size val="7"/>
            <c:spPr>
              <a:solidFill>
                <a:schemeClr val="accent1"/>
              </a:solidFill>
              <a:ln cmpd="sng">
                <a:solidFill>
                  <a:schemeClr val="accent1"/>
                </a:solidFill>
              </a:ln>
            </c:spPr>
          </c:marker>
          <c:xVal>
            <c:numRef>
              <c:f>'examscore vs previousscore'!$A$2:$A$255</c:f>
            </c:numRef>
          </c:xVal>
          <c:yVal>
            <c:numRef>
              <c:f>'examscore vs previousscore'!$B$2:$B$255</c:f>
              <c:numCache/>
            </c:numRef>
          </c:yVal>
        </c:ser>
        <c:dLbls>
          <c:showLegendKey val="0"/>
          <c:showVal val="0"/>
          <c:showCatName val="0"/>
          <c:showSerName val="0"/>
          <c:showPercent val="0"/>
          <c:showBubbleSize val="0"/>
        </c:dLbls>
        <c:axId val="545229708"/>
        <c:axId val="2099251053"/>
      </c:scatterChart>
      <c:valAx>
        <c:axId val="54522970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previous_scores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99251053"/>
      </c:valAx>
      <c:valAx>
        <c:axId val="20992510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exam_score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45229708"/>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previous_scores vs. attendance_percent</a:t>
            </a:r>
          </a:p>
        </c:rich>
      </c:tx>
      <c:overlay val="0"/>
    </c:title>
    <c:plotArea>
      <c:layout/>
      <c:scatterChart>
        <c:scatterStyle val="lineMarker"/>
        <c:varyColors val="0"/>
        <c:ser>
          <c:idx val="0"/>
          <c:order val="0"/>
          <c:tx>
            <c:strRef>
              <c:f>'previousscore vs attendenceperc'!$B$1</c:f>
            </c:strRef>
          </c:tx>
          <c:spPr>
            <a:ln>
              <a:noFill/>
            </a:ln>
          </c:spPr>
          <c:marker>
            <c:symbol val="circle"/>
            <c:size val="7"/>
            <c:spPr>
              <a:solidFill>
                <a:schemeClr val="accent1"/>
              </a:solidFill>
              <a:ln cmpd="sng">
                <a:solidFill>
                  <a:schemeClr val="accent1"/>
                </a:solidFill>
              </a:ln>
            </c:spPr>
          </c:marker>
          <c:xVal>
            <c:numRef>
              <c:f>'previousscore vs attendenceperc'!$A$2:$A$367</c:f>
            </c:numRef>
          </c:xVal>
          <c:yVal>
            <c:numRef>
              <c:f>'previousscore vs attendenceperc'!$B$2:$B$367</c:f>
              <c:numCache/>
            </c:numRef>
          </c:yVal>
        </c:ser>
        <c:dLbls>
          <c:showLegendKey val="0"/>
          <c:showVal val="0"/>
          <c:showCatName val="0"/>
          <c:showSerName val="0"/>
          <c:showPercent val="0"/>
          <c:showBubbleSize val="0"/>
        </c:dLbls>
        <c:axId val="629876484"/>
        <c:axId val="478220875"/>
      </c:scatterChart>
      <c:valAx>
        <c:axId val="62987648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attendance_percent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78220875"/>
      </c:valAx>
      <c:valAx>
        <c:axId val="4782208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previous_scores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29876484"/>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age vs. hours_studied</a:t>
            </a:r>
          </a:p>
        </c:rich>
      </c:tx>
      <c:overlay val="0"/>
    </c:title>
    <c:plotArea>
      <c:layout/>
      <c:scatterChart>
        <c:scatterStyle val="lineMarker"/>
        <c:varyColors val="0"/>
        <c:ser>
          <c:idx val="0"/>
          <c:order val="0"/>
          <c:tx>
            <c:strRef>
              <c:f>'age vs hourstudied'!$B$1</c:f>
            </c:strRef>
          </c:tx>
          <c:spPr>
            <a:ln>
              <a:noFill/>
            </a:ln>
          </c:spPr>
          <c:marker>
            <c:symbol val="circle"/>
            <c:size val="7"/>
            <c:spPr>
              <a:solidFill>
                <a:schemeClr val="accent1"/>
              </a:solidFill>
              <a:ln cmpd="sng">
                <a:solidFill>
                  <a:schemeClr val="accent1"/>
                </a:solidFill>
              </a:ln>
            </c:spPr>
          </c:marker>
          <c:xVal>
            <c:numRef>
              <c:f>'age vs hourstudied'!$A$2:$A$284</c:f>
            </c:numRef>
          </c:xVal>
          <c:yVal>
            <c:numRef>
              <c:f>'age vs hourstudied'!$B$2:$B$284</c:f>
              <c:numCache/>
            </c:numRef>
          </c:yVal>
        </c:ser>
        <c:dLbls>
          <c:showLegendKey val="0"/>
          <c:showVal val="0"/>
          <c:showCatName val="0"/>
          <c:showSerName val="0"/>
          <c:showPercent val="0"/>
          <c:showBubbleSize val="0"/>
        </c:dLbls>
        <c:axId val="1231857882"/>
        <c:axId val="323991050"/>
      </c:scatterChart>
      <c:valAx>
        <c:axId val="123185788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hours_studied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23991050"/>
      </c:valAx>
      <c:valAx>
        <c:axId val="3239910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31857882"/>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7</xdr:row>
      <xdr:rowOff>104775</xdr:rowOff>
    </xdr:from>
    <xdr:ext cx="7572375" cy="45243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142875</xdr:colOff>
      <xdr:row>7</xdr:row>
      <xdr:rowOff>104775</xdr:rowOff>
    </xdr:from>
    <xdr:ext cx="8105775" cy="45243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171450</xdr:colOff>
      <xdr:row>35</xdr:row>
      <xdr:rowOff>85725</xdr:rowOff>
    </xdr:from>
    <xdr:ext cx="15763875" cy="53149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114300</xdr:colOff>
      <xdr:row>31</xdr:row>
      <xdr:rowOff>190500</xdr:rowOff>
    </xdr:from>
    <xdr:ext cx="2857500" cy="2857500"/>
    <mc:AlternateContent>
      <mc:Choice Requires="sle15">
        <xdr:graphicFrame>
          <xdr:nvGraphicFramePr>
            <xdr:cNvPr id="1" name="exam_score_1"/>
            <xdr:cNvGraphicFramePr/>
          </xdr:nvGraphicFramePr>
          <xdr:xfrm>
            <a:off x="0" y="0"/>
            <a:ext cx="0" cy="0"/>
          </xdr:xfrm>
          <a:graphic>
            <a:graphicData uri="http://schemas.microsoft.com/office/drawing/2010/slicer">
              <x3Unk:slicer name="exam_scor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11</xdr:col>
      <xdr:colOff>600075</xdr:colOff>
      <xdr:row>31</xdr:row>
      <xdr:rowOff>133350</xdr:rowOff>
    </xdr:from>
    <xdr:ext cx="2857500" cy="2857500"/>
    <mc:AlternateContent>
      <mc:Choice Requires="sle15">
        <xdr:graphicFrame>
          <xdr:nvGraphicFramePr>
            <xdr:cNvPr id="2" name="attendance_percent_2"/>
            <xdr:cNvGraphicFramePr/>
          </xdr:nvGraphicFramePr>
          <xdr:xfrm>
            <a:off x="0" y="0"/>
            <a:ext cx="0" cy="0"/>
          </xdr:xfrm>
          <a:graphic>
            <a:graphicData uri="http://schemas.microsoft.com/office/drawing/2010/slicer">
              <x3Unk:slicer name="attendance_percent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609600</xdr:colOff>
      <xdr:row>65</xdr:row>
      <xdr:rowOff>133350</xdr:rowOff>
    </xdr:from>
    <xdr:ext cx="2857500" cy="2857500"/>
    <mc:AlternateContent>
      <mc:Choice Requires="sle15">
        <xdr:graphicFrame>
          <xdr:nvGraphicFramePr>
            <xdr:cNvPr id="3" name="age_3"/>
            <xdr:cNvGraphicFramePr/>
          </xdr:nvGraphicFramePr>
          <xdr:xfrm>
            <a:off x="0" y="0"/>
            <a:ext cx="0" cy="0"/>
          </xdr:xfrm>
          <a:graphic>
            <a:graphicData uri="http://schemas.microsoft.com/office/drawing/2010/slicer">
              <x3Unk:slicer name="ag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0</xdr:row>
      <xdr:rowOff>0</xdr:rowOff>
    </xdr:from>
    <xdr:ext cx="16011525" cy="1304925"/>
    <xdr:sp>
      <xdr:nvSpPr>
        <xdr:cNvPr id="3" name="Shape 3"/>
        <xdr:cNvSpPr txBox="1"/>
      </xdr:nvSpPr>
      <xdr:spPr>
        <a:xfrm>
          <a:off x="975" y="121575"/>
          <a:ext cx="9144000" cy="1285200"/>
        </a:xfrm>
        <a:prstGeom prst="rect">
          <a:avLst/>
        </a:prstGeom>
        <a:solidFill>
          <a:srgbClr val="F4CCCC"/>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2800"/>
            <a:t>DASH BOARD</a:t>
          </a:r>
          <a:endParaRPr sz="28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723900</xdr:colOff>
      <xdr:row>1</xdr:row>
      <xdr:rowOff>133350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114300</xdr:colOff>
      <xdr:row>20</xdr:row>
      <xdr:rowOff>190500</xdr:rowOff>
    </xdr:from>
    <xdr:ext cx="2857500" cy="2857500"/>
    <mc:AlternateContent>
      <mc:Choice Requires="sle15">
        <xdr:graphicFrame>
          <xdr:nvGraphicFramePr>
            <xdr:cNvPr id="4" name="exam_score_4"/>
            <xdr:cNvGraphicFramePr/>
          </xdr:nvGraphicFramePr>
          <xdr:xfrm>
            <a:off x="0" y="0"/>
            <a:ext cx="0" cy="0"/>
          </xdr:xfrm>
          <a:graphic>
            <a:graphicData uri="http://schemas.microsoft.com/office/drawing/2010/slicer">
              <x3Unk:slicer name="exam_score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476250</xdr:colOff>
      <xdr:row>1</xdr:row>
      <xdr:rowOff>66675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600075</xdr:colOff>
      <xdr:row>22</xdr:row>
      <xdr:rowOff>133350</xdr:rowOff>
    </xdr:from>
    <xdr:ext cx="2857500" cy="2857500"/>
    <mc:AlternateContent>
      <mc:Choice Requires="sle15">
        <xdr:graphicFrame>
          <xdr:nvGraphicFramePr>
            <xdr:cNvPr id="5" name="attendance_percent_5"/>
            <xdr:cNvGraphicFramePr/>
          </xdr:nvGraphicFramePr>
          <xdr:xfrm>
            <a:off x="0" y="0"/>
            <a:ext cx="0" cy="0"/>
          </xdr:xfrm>
          <a:graphic>
            <a:graphicData uri="http://schemas.microsoft.com/office/drawing/2010/slicer">
              <x3Unk:slicer name="attendance_percent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895350</xdr:colOff>
      <xdr:row>1</xdr:row>
      <xdr:rowOff>85725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609600</xdr:colOff>
      <xdr:row>21</xdr:row>
      <xdr:rowOff>133350</xdr:rowOff>
    </xdr:from>
    <xdr:ext cx="2857500" cy="2857500"/>
    <mc:AlternateContent>
      <mc:Choice Requires="sle15">
        <xdr:graphicFrame>
          <xdr:nvGraphicFramePr>
            <xdr:cNvPr id="6" name="age_6"/>
            <xdr:cNvGraphicFramePr/>
          </xdr:nvGraphicFramePr>
          <xdr:xfrm>
            <a:off x="0" y="0"/>
            <a:ext cx="0" cy="0"/>
          </xdr:xfrm>
          <a:graphic>
            <a:graphicData uri="http://schemas.microsoft.com/office/drawing/2010/slicer">
              <x3Unk:slicer name="age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201" sheet="student_exam_scores"/>
  </cacheSource>
  <cacheFields>
    <cacheField name="student_id" numFmtId="0">
      <sharedItems>
        <s v="S001"/>
        <s v="S002"/>
        <s v="S003"/>
        <s v="S004"/>
        <s v="S005"/>
        <s v="S006"/>
        <s v="S007"/>
        <s v="S008"/>
        <s v="S009"/>
        <s v="S010"/>
        <s v="S011"/>
        <s v="S012"/>
        <s v="S013"/>
        <s v="S014"/>
        <s v="S015"/>
        <s v="S016"/>
        <s v="S017"/>
        <s v="S018"/>
        <s v="S019"/>
        <s v="S020"/>
        <s v="S021"/>
        <s v="S022"/>
        <s v="S023"/>
        <s v="S024"/>
        <s v="S025"/>
        <s v="S026"/>
        <s v="S027"/>
        <s v="S028"/>
        <s v="S029"/>
        <s v="S030"/>
        <s v="S031"/>
        <s v="S032"/>
        <s v="S033"/>
        <s v="S034"/>
        <s v="S035"/>
        <s v="S036"/>
        <s v="S037"/>
        <s v="S038"/>
        <s v="S039"/>
        <s v="S040"/>
        <s v="S041"/>
        <s v="S042"/>
        <s v="S043"/>
        <s v="S044"/>
        <s v="S045"/>
        <s v="S046"/>
        <s v="S047"/>
        <s v="S048"/>
        <s v="S049"/>
        <s v="S050"/>
        <s v="S051"/>
        <s v="S052"/>
        <s v="S053"/>
        <s v="S054"/>
        <s v="S055"/>
        <s v="S056"/>
        <s v="S057"/>
        <s v="S058"/>
        <s v="S059"/>
        <s v="S060"/>
        <s v="S061"/>
        <s v="S062"/>
        <s v="S063"/>
        <s v="S064"/>
        <s v="S065"/>
        <s v="S066"/>
        <s v="S067"/>
        <s v="S068"/>
        <s v="S069"/>
        <s v="S070"/>
        <s v="S071"/>
        <s v="S072"/>
        <s v="S073"/>
        <s v="S074"/>
        <s v="S075"/>
        <s v="S076"/>
        <s v="S077"/>
        <s v="S078"/>
        <s v="S079"/>
        <s v="S080"/>
        <s v="S081"/>
        <s v="S082"/>
        <s v="S083"/>
        <s v="S084"/>
        <s v="S085"/>
        <s v="S086"/>
        <s v="S087"/>
        <s v="S088"/>
        <s v="S089"/>
        <s v="S090"/>
        <s v="S091"/>
        <s v="S092"/>
        <s v="S093"/>
        <s v="S094"/>
        <s v="S095"/>
        <s v="S096"/>
        <s v="S097"/>
        <s v="S098"/>
        <s v="S099"/>
        <s v="S100"/>
        <s v="S101"/>
        <s v="S102"/>
        <s v="S103"/>
        <s v="S104"/>
        <s v="S105"/>
        <s v="S106"/>
        <s v="S107"/>
        <s v="S108"/>
        <s v="S109"/>
        <s v="S110"/>
        <s v="S111"/>
        <s v="S112"/>
        <s v="S113"/>
        <s v="S114"/>
        <s v="S115"/>
        <s v="S116"/>
        <s v="S117"/>
        <s v="S118"/>
        <s v="S119"/>
        <s v="S120"/>
        <s v="S121"/>
        <s v="S122"/>
        <s v="S123"/>
        <s v="S124"/>
        <s v="S125"/>
        <s v="S126"/>
        <s v="S127"/>
        <s v="S128"/>
        <s v="S129"/>
        <s v="S130"/>
        <s v="S131"/>
        <s v="S132"/>
        <s v="S133"/>
        <s v="S134"/>
        <s v="S135"/>
        <s v="S136"/>
        <s v="S137"/>
        <s v="S138"/>
        <s v="S139"/>
        <s v="S140"/>
        <s v="S141"/>
        <s v="S142"/>
        <s v="S143"/>
        <s v="S144"/>
        <s v="S145"/>
        <s v="S146"/>
        <s v="S147"/>
        <s v="S148"/>
        <s v="S149"/>
        <s v="S150"/>
        <s v="S151"/>
        <s v="S152"/>
        <s v="S153"/>
        <s v="S154"/>
        <s v="S155"/>
        <s v="S156"/>
        <s v="S157"/>
        <s v="S158"/>
        <s v="S159"/>
        <s v="S160"/>
        <s v="S161"/>
        <s v="S162"/>
        <s v="S163"/>
        <s v="S164"/>
        <s v="S165"/>
        <s v="S166"/>
        <s v="S167"/>
        <s v="S168"/>
        <s v="S169"/>
        <s v="S170"/>
        <s v="S171"/>
        <s v="S172"/>
        <s v="S173"/>
        <s v="S174"/>
        <s v="S175"/>
        <s v="S176"/>
        <s v="S177"/>
        <s v="S178"/>
        <s v="S179"/>
        <s v="S180"/>
        <s v="S181"/>
        <s v="S182"/>
        <s v="S183"/>
        <s v="S184"/>
        <s v="S185"/>
        <s v="S186"/>
        <s v="S187"/>
        <s v="S188"/>
        <s v="S189"/>
        <s v="S190"/>
        <s v="S191"/>
        <s v="S192"/>
        <s v="S193"/>
        <s v="S194"/>
        <s v="S195"/>
        <s v="S196"/>
        <s v="S197"/>
        <s v="S198"/>
        <s v="S199"/>
        <s v="S200"/>
      </sharedItems>
    </cacheField>
    <cacheField name="hours_studied" numFmtId="0">
      <sharedItems containsSemiMixedTypes="0" containsString="0" containsNumber="1">
        <n v="8.0"/>
        <n v="1.3"/>
        <n v="4.0"/>
        <n v="3.5"/>
        <n v="9.1"/>
        <n v="8.4"/>
        <n v="10.8"/>
        <n v="2.0"/>
        <n v="5.6"/>
        <n v="3.4"/>
        <n v="6.6"/>
        <n v="3.2"/>
        <n v="8.1"/>
        <n v="7.0"/>
        <n v="7.5"/>
        <n v="9.9"/>
        <n v="1.1"/>
        <n v="8.7"/>
        <n v="4.7"/>
        <n v="2.7"/>
        <n v="11.5"/>
        <n v="2.1"/>
        <n v="10.3"/>
        <n v="7.6"/>
        <n v="9.0"/>
        <n v="6.9"/>
        <n v="11.7"/>
        <n v="5.2"/>
        <n v="7.1"/>
        <n v="10.1"/>
        <n v="7.8"/>
        <n v="10.5"/>
        <n v="7.4"/>
        <n v="8.8"/>
        <n v="1.5"/>
        <n v="4.2"/>
        <n v="1.9"/>
        <n v="3.6"/>
        <n v="4.1"/>
        <n v="5.0"/>
        <n v="5.1"/>
        <n v="3.3"/>
        <n v="3.9"/>
        <n v="11.3"/>
        <n v="7.7"/>
        <n v="2.9"/>
        <n v="2.8"/>
        <n v="11.9"/>
        <n v="8.5"/>
        <n v="9.5"/>
        <n v="1.4"/>
        <n v="4.5"/>
        <n v="11.4"/>
        <n v="10.6"/>
        <n v="8.2"/>
        <n v="5.4"/>
        <n v="11.1"/>
        <n v="6.0"/>
        <n v="3.7"/>
        <n v="7.2"/>
        <n v="10.9"/>
        <n v="12.0"/>
        <n v="2.2"/>
        <n v="7.9"/>
        <n v="9.7"/>
        <n v="1.7"/>
        <n v="6.8"/>
        <n v="8.9"/>
        <n v="5.8"/>
        <n v="6.5"/>
        <n v="3.0"/>
        <n v="11.0"/>
        <n v="4.3"/>
        <n v="9.4"/>
        <n v="9.6"/>
        <n v="1.0"/>
        <n v="4.6"/>
        <n v="1.2"/>
        <n v="11.2"/>
        <n v="10.7"/>
        <n v="4.4"/>
        <n v="1.6"/>
        <n v="6.3"/>
        <n v="1.8"/>
        <n v="2.4"/>
        <n v="6.2"/>
        <n v="5.7"/>
        <n v="6.7"/>
        <n v="2.3"/>
        <n v="2.5"/>
        <n v="7.3"/>
        <n v="3.1"/>
        <n v="6.1"/>
        <n v="11.8"/>
        <n v="5.9"/>
        <n v="10.2"/>
      </sharedItems>
    </cacheField>
    <cacheField name="sleep_hours" numFmtId="0">
      <sharedItems containsSemiMixedTypes="0" containsString="0" containsNumber="1">
        <n v="8.8"/>
        <n v="8.6"/>
        <n v="8.2"/>
        <n v="4.8"/>
        <n v="6.4"/>
        <n v="5.1"/>
        <n v="6.0"/>
        <n v="4.3"/>
        <n v="5.9"/>
        <n v="8.9"/>
        <n v="5.3"/>
        <n v="7.9"/>
        <n v="6.3"/>
        <n v="6.1"/>
        <n v="9.0"/>
        <n v="6.8"/>
        <n v="7.6"/>
        <n v="5.5"/>
        <n v="6.9"/>
        <n v="6.7"/>
        <n v="7.7"/>
        <n v="6.5"/>
        <n v="8.3"/>
        <n v="4.4"/>
        <n v="4.9"/>
        <n v="7.0"/>
        <n v="7.4"/>
        <n v="5.2"/>
        <n v="4.6"/>
        <n v="8.5"/>
        <n v="7.1"/>
        <n v="6.6"/>
        <n v="8.7"/>
        <n v="5.0"/>
        <n v="5.6"/>
        <n v="7.8"/>
        <n v="8.4"/>
        <n v="5.8"/>
        <n v="7.5"/>
        <n v="7.3"/>
        <n v="4.0"/>
        <n v="8.1"/>
        <n v="4.7"/>
        <n v="4.5"/>
        <n v="5.4"/>
        <n v="7.2"/>
        <n v="8.0"/>
        <n v="4.1"/>
        <n v="5.7"/>
        <n v="6.2"/>
      </sharedItems>
    </cacheField>
    <cacheField name="attendance_percent" numFmtId="0">
      <sharedItems containsSemiMixedTypes="0" containsString="0" containsNumber="1">
        <n v="72.1"/>
        <n v="60.7"/>
        <n v="73.7"/>
        <n v="95.1"/>
        <n v="89.8"/>
        <n v="58.5"/>
        <n v="54.2"/>
        <n v="75.8"/>
        <n v="81.6"/>
        <n v="66.8"/>
        <n v="90.9"/>
        <n v="87.6"/>
        <n v="83.6"/>
        <n v="61.2"/>
        <n v="60.0"/>
        <n v="51.2"/>
        <n v="62.2"/>
        <n v="73.8"/>
        <n v="92.5"/>
        <n v="53.6"/>
        <n v="70.7"/>
        <n v="81.5"/>
        <n v="59.7"/>
        <n v="84.8"/>
        <n v="74.7"/>
        <n v="82.8"/>
        <n v="50.3"/>
        <n v="87.5"/>
        <n v="88.5"/>
        <n v="55.3"/>
        <n v="71.3"/>
        <n v="58.8"/>
        <n v="97.9"/>
        <n v="75.9"/>
        <n v="52.5"/>
        <n v="62.5"/>
        <n v="92.4"/>
        <n v="72.8"/>
        <n v="90.1"/>
        <n v="83.4"/>
        <n v="99.4"/>
        <n v="79.8"/>
        <n v="97.5"/>
        <n v="94.6"/>
        <n v="80.6"/>
        <n v="86.0"/>
        <n v="75.2"/>
        <n v="91.5"/>
        <n v="77.4"/>
        <n v="94.9"/>
        <n v="87.2"/>
        <n v="63.0"/>
        <n v="62.4"/>
        <n v="81.9"/>
        <n v="88.3"/>
        <n v="76.1"/>
        <n v="81.3"/>
        <n v="63.7"/>
        <n v="53.9"/>
        <n v="64.3"/>
        <n v="63.6"/>
        <n v="66.0"/>
        <n v="77.0"/>
        <n v="56.9"/>
        <n v="61.6"/>
        <n v="84.7"/>
        <n v="85.3"/>
        <n v="53.2"/>
        <n v="70.4"/>
        <n v="77.1"/>
        <n v="70.8"/>
        <n v="60.3"/>
        <n v="71.0"/>
        <n v="95.2"/>
        <n v="79.2"/>
        <n v="92.8"/>
        <n v="69.0"/>
        <n v="67.6"/>
        <n v="87.7"/>
        <n v="92.7"/>
        <n v="97.7"/>
        <n v="87.4"/>
        <n v="77.3"/>
        <n v="80.2"/>
        <n v="61.0"/>
        <n v="71.8"/>
        <n v="51.5"/>
        <n v="84.0"/>
        <n v="70.2"/>
        <n v="58.3"/>
        <n v="73.4"/>
        <n v="56.4"/>
        <n v="81.1"/>
        <n v="51.3"/>
        <n v="69.7"/>
        <n v="78.2"/>
        <n v="51.4"/>
        <n v="82.1"/>
        <n v="56.8"/>
        <n v="73.1"/>
        <n v="60.6"/>
        <n v="66.3"/>
        <n v="88.1"/>
        <n v="91.6"/>
        <n v="62.6"/>
        <n v="54.1"/>
        <n v="51.0"/>
        <n v="100.0"/>
        <n v="67.5"/>
        <n v="82.5"/>
        <n v="89.1"/>
        <n v="82.6"/>
        <n v="57.6"/>
        <n v="56.3"/>
        <n v="83.5"/>
        <n v="60.9"/>
        <n v="85.0"/>
        <n v="58.4"/>
        <n v="80.4"/>
        <n v="55.7"/>
        <n v="91.0"/>
        <n v="98.2"/>
        <n v="55.4"/>
        <n v="65.6"/>
        <n v="83.9"/>
        <n v="69.8"/>
        <n v="85.8"/>
        <n v="53.8"/>
        <n v="84.5"/>
        <n v="81.4"/>
        <n v="55.1"/>
        <n v="88.6"/>
        <n v="80.0"/>
        <n v="56.1"/>
        <n v="99.2"/>
        <n v="67.4"/>
        <n v="71.4"/>
        <n v="68.5"/>
        <n v="75.3"/>
        <n v="67.1"/>
        <n v="91.1"/>
        <n v="98.0"/>
        <n v="81.8"/>
        <n v="91.4"/>
        <n v="85.4"/>
        <n v="86.7"/>
        <n v="98.3"/>
        <n v="63.5"/>
        <n v="90.4"/>
        <n v="76.9"/>
        <n v="74.2"/>
        <n v="86.6"/>
        <n v="63.4"/>
        <n v="92.6"/>
        <n v="54.3"/>
        <n v="94.1"/>
        <n v="73.2"/>
        <n v="80.5"/>
        <n v="68.9"/>
        <n v="59.1"/>
        <n v="89.9"/>
        <n v="67.0"/>
        <n v="94.0"/>
        <n v="85.1"/>
        <n v="63.8"/>
        <n v="50.5"/>
        <n v="97.4"/>
      </sharedItems>
    </cacheField>
    <cacheField name="previous_scores" numFmtId="0">
      <sharedItems containsSemiMixedTypes="0" containsString="0" containsNumber="1" containsInteger="1">
        <n v="45.0"/>
        <n v="55.0"/>
        <n v="86.0"/>
        <n v="66.0"/>
        <n v="71.0"/>
        <n v="75.0"/>
        <n v="88.0"/>
        <n v="84.0"/>
        <n v="70.0"/>
        <n v="81.0"/>
        <n v="85.0"/>
        <n v="68.0"/>
        <n v="90.0"/>
        <n v="41.0"/>
        <n v="58.0"/>
        <n v="54.0"/>
        <n v="65.0"/>
        <n v="59.0"/>
        <n v="82.0"/>
        <n v="77.0"/>
        <n v="63.0"/>
        <n v="73.0"/>
        <n v="62.0"/>
        <n v="67.0"/>
        <n v="87.0"/>
        <n v="61.0"/>
        <n v="69.0"/>
        <n v="57.0"/>
        <n v="56.0"/>
        <n v="47.0"/>
        <n v="52.0"/>
        <n v="60.0"/>
        <n v="74.0"/>
        <n v="51.0"/>
        <n v="53.0"/>
        <n v="78.0"/>
        <n v="46.0"/>
        <n v="93.0"/>
        <n v="40.0"/>
        <n v="48.0"/>
        <n v="42.0"/>
        <n v="43.0"/>
        <n v="80.0"/>
        <n v="95.0"/>
        <n v="76.0"/>
        <n v="92.0"/>
        <n v="44.0"/>
        <n v="83.0"/>
        <n v="49.0"/>
        <n v="91.0"/>
        <n v="79.0"/>
        <n v="89.0"/>
        <n v="64.0"/>
        <n v="50.0"/>
      </sharedItems>
    </cacheField>
    <cacheField name="exam_score" numFmtId="0">
      <sharedItems containsSemiMixedTypes="0" containsString="0" containsNumber="1">
        <n v="30.2"/>
        <n v="25.0"/>
        <n v="35.8"/>
        <n v="34.0"/>
        <n v="40.3"/>
        <n v="35.7"/>
        <n v="37.9"/>
        <n v="18.3"/>
        <n v="34.7"/>
        <n v="24.7"/>
        <n v="29.3"/>
        <n v="35.1"/>
        <n v="31.2"/>
        <n v="41.1"/>
        <n v="34.1"/>
        <n v="28.9"/>
        <n v="36.3"/>
        <n v="35.6"/>
        <n v="17.1"/>
        <n v="46.0"/>
        <n v="36.1"/>
        <n v="29.6"/>
        <n v="35.9"/>
        <n v="39.2"/>
        <n v="30.0"/>
        <n v="29.0"/>
        <n v="26.5"/>
        <n v="37.2"/>
        <n v="36.2"/>
        <n v="34.5"/>
        <n v="41.6"/>
        <n v="38.1"/>
        <n v="42.7"/>
        <n v="32.0"/>
        <n v="44.7"/>
        <n v="38.3"/>
        <n v="39.8"/>
        <n v="35.0"/>
        <n v="34.2"/>
        <n v="23.1"/>
        <n v="30.3"/>
        <n v="26.1"/>
        <n v="31.8"/>
        <n v="31.6"/>
        <n v="31.1"/>
        <n v="41.2"/>
        <n v="30.6"/>
        <n v="28.8"/>
        <n v="30.7"/>
        <n v="26.9"/>
        <n v="46.4"/>
        <n v="34.4"/>
        <n v="37.0"/>
        <n v="35.2"/>
        <n v="38.2"/>
        <n v="33.0"/>
        <n v="29.2"/>
        <n v="48.6"/>
        <n v="27.1"/>
        <n v="39.5"/>
        <n v="36.7"/>
        <n v="21.7"/>
        <n v="32.2"/>
        <n v="33.5"/>
        <n v="23.9"/>
        <n v="20.8"/>
        <n v="47.9"/>
        <n v="41.9"/>
        <n v="29.5"/>
        <n v="26.3"/>
        <n v="39.9"/>
        <n v="30.8"/>
        <n v="32.4"/>
        <n v="48.9"/>
        <n v="38.0"/>
        <n v="51.3"/>
        <n v="28.6"/>
        <n v="32.1"/>
        <n v="27.3"/>
        <n v="37.5"/>
        <n v="29.1"/>
        <n v="28.1"/>
        <n v="28.7"/>
        <n v="36.9"/>
        <n v="36.0"/>
        <n v="37.1"/>
        <n v="31.4"/>
        <n v="31.3"/>
        <n v="32.6"/>
        <n v="24.1"/>
        <n v="23.7"/>
        <n v="23.2"/>
        <n v="42.2"/>
        <n v="39.6"/>
        <n v="34.8"/>
        <n v="34.6"/>
        <n v="26.4"/>
        <n v="43.1"/>
        <n v="25.2"/>
        <n v="29.8"/>
        <n v="40.9"/>
        <n v="44.1"/>
        <n v="39.3"/>
        <n v="21.2"/>
        <n v="38.6"/>
        <n v="26.8"/>
        <n v="32.9"/>
        <n v="45.7"/>
        <n v="40.8"/>
        <n v="29.9"/>
        <n v="43.3"/>
        <n v="19.0"/>
        <n v="45.8"/>
        <n v="35.5"/>
        <n v="21.9"/>
        <n v="42.3"/>
        <n v="27.7"/>
        <n v="33.4"/>
        <n v="29.7"/>
        <n v="23.6"/>
        <n v="33.6"/>
        <n v="40.6"/>
        <n v="30.1"/>
        <n v="42.0"/>
        <n v="22.8"/>
        <n v="45.3"/>
        <n v="31.0"/>
        <n v="44.8"/>
        <n v="38.4"/>
        <n v="19.4"/>
        <n v="39.4"/>
        <n v="22.9"/>
        <n v="23.4"/>
        <n v="28.0"/>
        <n v="46.7"/>
        <n v="33.8"/>
        <n v="40.4"/>
        <n v="28.2"/>
        <n v="37.8"/>
      </sharedItems>
    </cacheField>
    <cacheField name="age" numFmtId="0">
      <sharedItems containsSemiMixedTypes="0" containsString="0" containsNumber="1" containsInteger="1">
        <n v="15.0"/>
        <n v="16.0"/>
        <n v="17.0"/>
        <n v="19.0"/>
        <n v="18.0"/>
        <n v="14.0"/>
        <n v="20.0"/>
        <n v="23.0"/>
        <n v="25.0"/>
        <n v="24.0"/>
        <n v="26.0"/>
        <n v="28.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examscore vs previousscore" cacheId="0" dataCaption="" compact="0" compactData="0">
  <location ref="A1:C255" firstHeaderRow="0" firstDataRow="2" firstDataCol="0"/>
  <pivotFields>
    <pivotField name="stud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hours_studi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sleep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attendance_perc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t="default"/>
      </items>
    </pivotField>
    <pivotField name="previous_scores" axis="axisRow" compact="0" outline="0" multipleItemSelectionAllowed="1" showAll="0" sortType="ascending">
      <items>
        <item x="38"/>
        <item x="13"/>
        <item x="40"/>
        <item x="41"/>
        <item x="46"/>
        <item x="0"/>
        <item x="36"/>
        <item x="29"/>
        <item x="39"/>
        <item x="48"/>
        <item x="53"/>
        <item x="33"/>
        <item x="30"/>
        <item x="34"/>
        <item x="15"/>
        <item x="1"/>
        <item x="28"/>
        <item x="27"/>
        <item x="14"/>
        <item x="17"/>
        <item x="31"/>
        <item x="25"/>
        <item x="22"/>
        <item x="20"/>
        <item x="52"/>
        <item x="16"/>
        <item x="3"/>
        <item x="23"/>
        <item x="11"/>
        <item x="26"/>
        <item x="8"/>
        <item x="4"/>
        <item x="21"/>
        <item x="32"/>
        <item x="5"/>
        <item x="44"/>
        <item x="19"/>
        <item x="35"/>
        <item x="50"/>
        <item x="42"/>
        <item x="9"/>
        <item x="18"/>
        <item x="47"/>
        <item x="7"/>
        <item x="10"/>
        <item x="2"/>
        <item x="24"/>
        <item x="6"/>
        <item x="51"/>
        <item x="12"/>
        <item x="49"/>
        <item x="45"/>
        <item x="37"/>
        <item x="43"/>
        <item t="default"/>
      </items>
    </pivotField>
    <pivotField name="exam_score" axis="axisRow" compact="0" outline="0" multipleItemSelectionAllowed="1" showAll="0" sortType="ascending">
      <items>
        <item x="18"/>
        <item x="7"/>
        <item x="111"/>
        <item x="129"/>
        <item x="65"/>
        <item x="103"/>
        <item x="61"/>
        <item x="114"/>
        <item x="124"/>
        <item x="131"/>
        <item x="39"/>
        <item x="91"/>
        <item x="132"/>
        <item x="119"/>
        <item x="90"/>
        <item x="64"/>
        <item x="89"/>
        <item x="9"/>
        <item x="1"/>
        <item x="98"/>
        <item x="41"/>
        <item x="69"/>
        <item x="96"/>
        <item x="26"/>
        <item x="105"/>
        <item x="49"/>
        <item x="58"/>
        <item x="78"/>
        <item x="116"/>
        <item x="133"/>
        <item x="81"/>
        <item x="137"/>
        <item x="76"/>
        <item x="82"/>
        <item x="47"/>
        <item x="15"/>
        <item x="25"/>
        <item x="80"/>
        <item x="56"/>
        <item x="10"/>
        <item x="68"/>
        <item x="21"/>
        <item x="118"/>
        <item x="99"/>
        <item x="109"/>
        <item x="24"/>
        <item x="122"/>
        <item x="0"/>
        <item x="40"/>
        <item x="46"/>
        <item x="48"/>
        <item x="71"/>
        <item x="126"/>
        <item x="44"/>
        <item x="12"/>
        <item x="87"/>
        <item x="86"/>
        <item x="43"/>
        <item x="42"/>
        <item x="33"/>
        <item x="77"/>
        <item x="62"/>
        <item x="72"/>
        <item x="88"/>
        <item x="106"/>
        <item x="55"/>
        <item x="117"/>
        <item x="63"/>
        <item x="120"/>
        <item x="135"/>
        <item x="3"/>
        <item x="14"/>
        <item x="38"/>
        <item x="51"/>
        <item x="29"/>
        <item x="95"/>
        <item x="8"/>
        <item x="94"/>
        <item x="37"/>
        <item x="11"/>
        <item x="53"/>
        <item x="113"/>
        <item x="17"/>
        <item x="5"/>
        <item x="2"/>
        <item x="22"/>
        <item x="84"/>
        <item x="20"/>
        <item x="28"/>
        <item x="16"/>
        <item x="60"/>
        <item x="83"/>
        <item x="52"/>
        <item x="85"/>
        <item x="27"/>
        <item x="79"/>
        <item x="138"/>
        <item x="6"/>
        <item x="74"/>
        <item x="31"/>
        <item x="54"/>
        <item x="35"/>
        <item x="128"/>
        <item x="104"/>
        <item x="23"/>
        <item x="102"/>
        <item x="130"/>
        <item x="59"/>
        <item x="93"/>
        <item x="36"/>
        <item x="70"/>
        <item x="4"/>
        <item x="136"/>
        <item x="121"/>
        <item x="108"/>
        <item x="100"/>
        <item x="13"/>
        <item x="45"/>
        <item x="30"/>
        <item x="67"/>
        <item x="123"/>
        <item x="92"/>
        <item x="115"/>
        <item x="32"/>
        <item x="97"/>
        <item x="110"/>
        <item x="101"/>
        <item x="34"/>
        <item x="127"/>
        <item x="125"/>
        <item x="107"/>
        <item x="112"/>
        <item x="19"/>
        <item x="50"/>
        <item x="134"/>
        <item x="66"/>
        <item x="57"/>
        <item x="73"/>
        <item x="75"/>
        <item t="default"/>
      </items>
    </pivotField>
    <pivotField name="age" compact="0" outline="0" multipleItemSelectionAllowed="1" showAll="0">
      <items>
        <item x="0"/>
        <item x="1"/>
        <item x="2"/>
        <item x="3"/>
        <item x="4"/>
        <item x="5"/>
        <item x="6"/>
        <item x="7"/>
        <item x="8"/>
        <item x="9"/>
        <item x="10"/>
        <item x="11"/>
        <item t="default"/>
      </items>
    </pivotField>
  </pivotFields>
  <rowFields>
    <field x="4"/>
    <field x="5"/>
  </rowFields>
</pivotTableDefinition>
</file>

<file path=xl/pivotTables/pivotTable2.xml><?xml version="1.0" encoding="utf-8"?>
<pivotTableDefinition xmlns="http://schemas.openxmlformats.org/spreadsheetml/2006/main" name="previousscore vs attendenceperc" cacheId="0" dataCaption="" compact="0" compactData="0">
  <location ref="A1:C367" firstHeaderRow="0" firstDataRow="2" firstDataCol="0"/>
  <pivotFields>
    <pivotField name="stud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hours_studi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sleep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attendance_percent" axis="axisRow" compact="0" outline="0" multipleItemSelectionAllowed="1" showAll="0" sortType="ascending">
      <items>
        <item x="26"/>
        <item x="165"/>
        <item x="106"/>
        <item x="15"/>
        <item x="93"/>
        <item x="96"/>
        <item x="86"/>
        <item x="34"/>
        <item x="67"/>
        <item x="19"/>
        <item x="127"/>
        <item x="58"/>
        <item x="105"/>
        <item x="6"/>
        <item x="154"/>
        <item x="130"/>
        <item x="29"/>
        <item x="122"/>
        <item x="119"/>
        <item x="133"/>
        <item x="113"/>
        <item x="91"/>
        <item x="98"/>
        <item x="63"/>
        <item x="112"/>
        <item x="89"/>
        <item x="117"/>
        <item x="5"/>
        <item x="31"/>
        <item x="159"/>
        <item x="22"/>
        <item x="14"/>
        <item x="71"/>
        <item x="100"/>
        <item x="1"/>
        <item x="115"/>
        <item x="84"/>
        <item x="13"/>
        <item x="64"/>
        <item x="16"/>
        <item x="52"/>
        <item x="35"/>
        <item x="104"/>
        <item x="51"/>
        <item x="152"/>
        <item x="147"/>
        <item x="60"/>
        <item x="57"/>
        <item x="164"/>
        <item x="59"/>
        <item x="123"/>
        <item x="61"/>
        <item x="101"/>
        <item x="9"/>
        <item x="161"/>
        <item x="139"/>
        <item x="135"/>
        <item x="108"/>
        <item x="77"/>
        <item x="137"/>
        <item x="158"/>
        <item x="76"/>
        <item x="94"/>
        <item x="125"/>
        <item x="88"/>
        <item x="68"/>
        <item x="20"/>
        <item x="70"/>
        <item x="72"/>
        <item x="30"/>
        <item x="136"/>
        <item x="85"/>
        <item x="0"/>
        <item x="37"/>
        <item x="99"/>
        <item x="156"/>
        <item x="90"/>
        <item x="2"/>
        <item x="17"/>
        <item x="150"/>
        <item x="24"/>
        <item x="46"/>
        <item x="138"/>
        <item x="7"/>
        <item x="33"/>
        <item x="55"/>
        <item x="149"/>
        <item x="62"/>
        <item x="69"/>
        <item x="82"/>
        <item x="48"/>
        <item x="95"/>
        <item x="74"/>
        <item x="41"/>
        <item x="132"/>
        <item x="83"/>
        <item x="118"/>
        <item x="157"/>
        <item x="44"/>
        <item x="92"/>
        <item x="56"/>
        <item x="129"/>
        <item x="21"/>
        <item x="8"/>
        <item x="142"/>
        <item x="53"/>
        <item x="97"/>
        <item x="109"/>
        <item x="111"/>
        <item x="25"/>
        <item x="39"/>
        <item x="114"/>
        <item x="12"/>
        <item x="124"/>
        <item x="87"/>
        <item x="128"/>
        <item x="65"/>
        <item x="23"/>
        <item x="116"/>
        <item x="163"/>
        <item x="66"/>
        <item x="144"/>
        <item x="126"/>
        <item x="45"/>
        <item x="151"/>
        <item x="145"/>
        <item x="50"/>
        <item x="81"/>
        <item x="27"/>
        <item x="11"/>
        <item x="78"/>
        <item x="102"/>
        <item x="54"/>
        <item x="28"/>
        <item x="131"/>
        <item x="110"/>
        <item x="4"/>
        <item x="160"/>
        <item x="38"/>
        <item x="148"/>
        <item x="10"/>
        <item x="120"/>
        <item x="140"/>
        <item x="143"/>
        <item x="47"/>
        <item x="103"/>
        <item x="36"/>
        <item x="18"/>
        <item x="153"/>
        <item x="79"/>
        <item x="75"/>
        <item x="162"/>
        <item x="155"/>
        <item x="43"/>
        <item x="49"/>
        <item x="3"/>
        <item x="73"/>
        <item x="166"/>
        <item x="42"/>
        <item x="80"/>
        <item x="32"/>
        <item x="141"/>
        <item x="121"/>
        <item x="146"/>
        <item x="134"/>
        <item x="40"/>
        <item x="107"/>
        <item t="default"/>
      </items>
    </pivotField>
    <pivotField name="previous_scores" axis="axisRow" compact="0" outline="0" multipleItemSelectionAllowed="1" showAll="0" sortType="ascending">
      <items>
        <item x="38"/>
        <item x="13"/>
        <item x="40"/>
        <item x="41"/>
        <item x="46"/>
        <item x="0"/>
        <item x="36"/>
        <item x="29"/>
        <item x="39"/>
        <item x="48"/>
        <item x="53"/>
        <item x="33"/>
        <item x="30"/>
        <item x="34"/>
        <item x="15"/>
        <item x="1"/>
        <item x="28"/>
        <item x="27"/>
        <item x="14"/>
        <item x="17"/>
        <item x="31"/>
        <item x="25"/>
        <item x="22"/>
        <item x="20"/>
        <item x="52"/>
        <item x="16"/>
        <item x="3"/>
        <item x="23"/>
        <item x="11"/>
        <item x="26"/>
        <item x="8"/>
        <item x="4"/>
        <item x="21"/>
        <item x="32"/>
        <item x="5"/>
        <item x="44"/>
        <item x="19"/>
        <item x="35"/>
        <item x="50"/>
        <item x="42"/>
        <item x="9"/>
        <item x="18"/>
        <item x="47"/>
        <item x="7"/>
        <item x="10"/>
        <item x="2"/>
        <item x="24"/>
        <item x="6"/>
        <item x="51"/>
        <item x="12"/>
        <item x="49"/>
        <item x="45"/>
        <item x="37"/>
        <item x="43"/>
        <item t="default"/>
      </items>
    </pivotField>
    <pivotField name="exam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name="age" compact="0" outline="0" multipleItemSelectionAllowed="1" showAll="0">
      <items>
        <item x="0"/>
        <item x="1"/>
        <item x="2"/>
        <item x="3"/>
        <item x="4"/>
        <item x="5"/>
        <item x="6"/>
        <item x="7"/>
        <item x="8"/>
        <item x="9"/>
        <item x="10"/>
        <item x="11"/>
        <item t="default"/>
      </items>
    </pivotField>
  </pivotFields>
  <rowFields>
    <field x="3"/>
    <field x="4"/>
  </rowFields>
</pivotTableDefinition>
</file>

<file path=xl/pivotTables/pivotTable3.xml><?xml version="1.0" encoding="utf-8"?>
<pivotTableDefinition xmlns="http://schemas.openxmlformats.org/spreadsheetml/2006/main" name="age vs hourstudied" cacheId="0" dataCaption="" compact="0" compactData="0">
  <location ref="A1:C284" firstHeaderRow="0" firstDataRow="2" firstDataCol="0"/>
  <pivotFields>
    <pivotField name="stud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hours_studied" axis="axisRow" compact="0" outline="0" multipleItemSelectionAllowed="1" showAll="0" sortType="ascending">
      <items>
        <item x="75"/>
        <item x="16"/>
        <item x="77"/>
        <item x="1"/>
        <item x="50"/>
        <item x="34"/>
        <item x="81"/>
        <item x="65"/>
        <item x="83"/>
        <item x="36"/>
        <item x="7"/>
        <item x="21"/>
        <item x="62"/>
        <item x="88"/>
        <item x="84"/>
        <item x="89"/>
        <item x="19"/>
        <item x="46"/>
        <item x="45"/>
        <item x="70"/>
        <item x="91"/>
        <item x="11"/>
        <item x="41"/>
        <item x="9"/>
        <item x="3"/>
        <item x="37"/>
        <item x="58"/>
        <item x="42"/>
        <item x="2"/>
        <item x="38"/>
        <item x="35"/>
        <item x="72"/>
        <item x="80"/>
        <item x="51"/>
        <item x="76"/>
        <item x="18"/>
        <item x="39"/>
        <item x="40"/>
        <item x="27"/>
        <item x="55"/>
        <item x="8"/>
        <item x="86"/>
        <item x="68"/>
        <item x="94"/>
        <item x="57"/>
        <item x="92"/>
        <item x="85"/>
        <item x="82"/>
        <item x="69"/>
        <item x="10"/>
        <item x="87"/>
        <item x="66"/>
        <item x="25"/>
        <item x="13"/>
        <item x="28"/>
        <item x="59"/>
        <item x="90"/>
        <item x="32"/>
        <item x="14"/>
        <item x="23"/>
        <item x="44"/>
        <item x="30"/>
        <item x="63"/>
        <item x="0"/>
        <item x="12"/>
        <item x="54"/>
        <item x="5"/>
        <item x="48"/>
        <item x="17"/>
        <item x="33"/>
        <item x="67"/>
        <item x="24"/>
        <item x="4"/>
        <item x="73"/>
        <item x="49"/>
        <item x="74"/>
        <item x="64"/>
        <item x="15"/>
        <item x="29"/>
        <item x="95"/>
        <item x="22"/>
        <item x="31"/>
        <item x="53"/>
        <item x="79"/>
        <item x="6"/>
        <item x="60"/>
        <item x="71"/>
        <item x="56"/>
        <item x="78"/>
        <item x="43"/>
        <item x="52"/>
        <item x="20"/>
        <item x="26"/>
        <item x="93"/>
        <item x="47"/>
        <item x="61"/>
        <item t="default"/>
      </items>
    </pivotField>
    <pivotField name="sleep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attendance_perc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t="default"/>
      </items>
    </pivotField>
    <pivotField name="previous_sco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exam_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name="age" axis="axisRow" compact="0" outline="0" multipleItemSelectionAllowed="1" showAll="0" sortType="ascending">
      <items>
        <item x="5"/>
        <item x="0"/>
        <item x="1"/>
        <item x="2"/>
        <item x="4"/>
        <item x="3"/>
        <item x="6"/>
        <item x="7"/>
        <item x="9"/>
        <item x="8"/>
        <item x="10"/>
        <item x="11"/>
        <item t="default"/>
      </items>
    </pivotField>
  </pivotFields>
  <rowFields>
    <field x="1"/>
    <field x="6"/>
  </row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exam_score">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attendance_percent">
  <x14:extLst>
    <ext uri="{2F2917AC-EB37-4324-AD4E-5DD8C200BD13}">
      <x15:tableSlicerCache tableId="2" column="1"/>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2" sourceName="age">
  <x14:extLst>
    <ext uri="{2F2917AC-EB37-4324-AD4E-5DD8C200BD13}">
      <x15:tableSlicerCache tableId="3"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exam_score_1" cache="SlicerCache_Table_1_Col_2" caption="exam_score" rowHeight="247650"/>
  <x14:slicer name="attendance_percent_2" cache="SlicerCache_Table_2_Col_1" caption="attendance_percent" rowHeight="247650"/>
  <x14:slicer name="age_3" cache="SlicerCache_Table_3_Col_2" caption="age"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exam_score_4" cache="SlicerCache_Table_1_Col_2" caption="exam_score"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attendance_percent_5" cache="SlicerCache_Table_2_Col_1" caption="attendance_percent" rowHeight="247650"/>
</x14:slicers>
</file>

<file path=xl/slicers/slicer4.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age_6" cache="SlicerCache_Table_3_Col_2" caption="age" rowHeight="247650"/>
</x14:slicers>
</file>

<file path=xl/tables/table1.xml><?xml version="1.0" encoding="utf-8"?>
<table xmlns="http://schemas.openxmlformats.org/spreadsheetml/2006/main" ref="A1:B255" displayName="Table_1" name="Table_1" id="1">
  <autoFilter ref="$A$1:$B$255"/>
  <tableColumns count="2">
    <tableColumn name="previous_scores" id="1"/>
    <tableColumn name="exam_score" id="2"/>
  </tableColumns>
  <tableStyleInfo showColumnStripes="0" showFirstColumn="0" showLastColumn="0" showRowStripes="0"/>
</table>
</file>

<file path=xl/tables/table2.xml><?xml version="1.0" encoding="utf-8"?>
<table xmlns="http://schemas.openxmlformats.org/spreadsheetml/2006/main" ref="A1:B367" displayName="Table_2" name="Table_2" id="2">
  <autoFilter ref="$A$1:$B$367"/>
  <tableColumns count="2">
    <tableColumn name="attendance_percent" id="1"/>
    <tableColumn name="previous_scores" id="2"/>
  </tableColumns>
  <tableStyleInfo showColumnStripes="0" showFirstColumn="0" showLastColumn="0" showRowStripes="0"/>
</table>
</file>

<file path=xl/tables/table3.xml><?xml version="1.0" encoding="utf-8"?>
<table xmlns="http://schemas.openxmlformats.org/spreadsheetml/2006/main" ref="A1:B284" displayName="Table_3" name="Table_3" id="3">
  <autoFilter ref="$A$1:$B$284"/>
  <tableColumns count="2">
    <tableColumn name="hours_studied" id="1"/>
    <tableColumn name="age" id="2"/>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 Id="rId4" Type="http://schemas.openxmlformats.org/officeDocument/2006/relationships/table" Target="../tables/table1.xml"/><Relationship Id="rId5"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 Id="rId4" Type="http://schemas.openxmlformats.org/officeDocument/2006/relationships/table" Target="../tables/table2.xml"/><Relationship Id="rId5" Type="http://schemas.microsoft.com/office/2007/relationships/slicer" Target="../slicers/slicer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 Id="rId4" Type="http://schemas.openxmlformats.org/officeDocument/2006/relationships/table" Target="../tables/table3.xml"/><Relationship Id="rId5"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1">
        <v>8.0</v>
      </c>
      <c r="C2" s="1">
        <v>8.8</v>
      </c>
      <c r="D2" s="1">
        <v>72.1</v>
      </c>
      <c r="E2" s="1">
        <v>45.0</v>
      </c>
      <c r="F2" s="1">
        <v>30.2</v>
      </c>
      <c r="G2" s="1">
        <v>15.0</v>
      </c>
      <c r="L2" s="1" t="s">
        <v>8</v>
      </c>
    </row>
    <row r="3">
      <c r="A3" s="1" t="s">
        <v>9</v>
      </c>
      <c r="B3" s="1">
        <v>1.3</v>
      </c>
      <c r="C3" s="1">
        <v>8.6</v>
      </c>
      <c r="D3" s="1">
        <v>60.7</v>
      </c>
      <c r="E3" s="1">
        <v>55.0</v>
      </c>
      <c r="F3" s="1">
        <v>25.0</v>
      </c>
      <c r="G3" s="1">
        <v>16.0</v>
      </c>
      <c r="K3" s="1" t="s">
        <v>10</v>
      </c>
      <c r="L3" s="2" t="str">
        <f>VLOOKUP(A2, A2:G201, 1, FALSE)</f>
        <v>S001</v>
      </c>
    </row>
    <row r="4">
      <c r="A4" s="1" t="s">
        <v>11</v>
      </c>
      <c r="B4" s="1">
        <v>4.0</v>
      </c>
      <c r="C4" s="1">
        <v>8.2</v>
      </c>
      <c r="D4" s="1">
        <v>73.7</v>
      </c>
      <c r="E4" s="1">
        <v>86.0</v>
      </c>
      <c r="F4" s="1">
        <v>35.8</v>
      </c>
      <c r="G4" s="1">
        <v>17.0</v>
      </c>
      <c r="K4" s="1" t="s">
        <v>6</v>
      </c>
      <c r="L4" s="2">
        <f>VLOOKUP(A2, A2:G201, 7, FALSE)</f>
        <v>15</v>
      </c>
    </row>
    <row r="5">
      <c r="A5" s="1" t="s">
        <v>12</v>
      </c>
      <c r="B5" s="1">
        <v>3.5</v>
      </c>
      <c r="C5" s="1">
        <v>4.8</v>
      </c>
      <c r="D5" s="1">
        <v>95.1</v>
      </c>
      <c r="E5" s="1">
        <v>66.0</v>
      </c>
      <c r="F5" s="1">
        <v>34.0</v>
      </c>
      <c r="G5" s="1">
        <v>15.0</v>
      </c>
      <c r="K5" s="1" t="s">
        <v>13</v>
      </c>
      <c r="L5" s="2">
        <f>VLOOKUP(A2, A2:G201, 6, FALSE)</f>
        <v>30.2</v>
      </c>
    </row>
    <row r="6">
      <c r="A6" s="1" t="s">
        <v>14</v>
      </c>
      <c r="B6" s="1">
        <v>9.1</v>
      </c>
      <c r="C6" s="1">
        <v>6.4</v>
      </c>
      <c r="D6" s="1">
        <v>89.8</v>
      </c>
      <c r="E6" s="1">
        <v>71.0</v>
      </c>
      <c r="F6" s="1">
        <v>40.3</v>
      </c>
      <c r="G6" s="1">
        <v>19.0</v>
      </c>
    </row>
    <row r="7">
      <c r="A7" s="1" t="s">
        <v>15</v>
      </c>
      <c r="B7" s="1">
        <v>8.4</v>
      </c>
      <c r="C7" s="1">
        <v>5.1</v>
      </c>
      <c r="D7" s="1">
        <v>58.5</v>
      </c>
      <c r="E7" s="1">
        <v>75.0</v>
      </c>
      <c r="F7" s="1">
        <v>35.7</v>
      </c>
      <c r="G7" s="1">
        <v>18.0</v>
      </c>
    </row>
    <row r="8">
      <c r="A8" s="1" t="s">
        <v>16</v>
      </c>
      <c r="B8" s="1">
        <v>10.8</v>
      </c>
      <c r="C8" s="1">
        <v>6.0</v>
      </c>
      <c r="D8" s="1">
        <v>54.2</v>
      </c>
      <c r="E8" s="1">
        <v>88.0</v>
      </c>
      <c r="F8" s="1">
        <v>37.9</v>
      </c>
      <c r="G8" s="1">
        <v>14.0</v>
      </c>
      <c r="L8" s="1" t="s">
        <v>17</v>
      </c>
    </row>
    <row r="9">
      <c r="A9" s="1" t="s">
        <v>18</v>
      </c>
      <c r="B9" s="1">
        <v>2.0</v>
      </c>
      <c r="C9" s="1">
        <v>4.3</v>
      </c>
      <c r="D9" s="1">
        <v>75.8</v>
      </c>
      <c r="E9" s="1">
        <v>55.0</v>
      </c>
      <c r="F9" s="1">
        <v>18.3</v>
      </c>
      <c r="G9" s="1">
        <v>17.0</v>
      </c>
      <c r="L9" s="2">
        <f t="array" ref="L9">INDEX(A1:G201, 6, 2)</f>
        <v>9.1</v>
      </c>
    </row>
    <row r="10">
      <c r="A10" s="1" t="s">
        <v>19</v>
      </c>
      <c r="B10" s="1">
        <v>5.6</v>
      </c>
      <c r="C10" s="1">
        <v>5.9</v>
      </c>
      <c r="D10" s="1">
        <v>81.6</v>
      </c>
      <c r="E10" s="1">
        <v>84.0</v>
      </c>
      <c r="F10" s="1">
        <v>34.7</v>
      </c>
      <c r="G10" s="1">
        <v>20.0</v>
      </c>
    </row>
    <row r="11">
      <c r="A11" s="1" t="s">
        <v>20</v>
      </c>
      <c r="B11" s="1">
        <v>1.3</v>
      </c>
      <c r="C11" s="1">
        <v>8.9</v>
      </c>
      <c r="D11" s="1">
        <v>66.8</v>
      </c>
      <c r="E11" s="1">
        <v>70.0</v>
      </c>
      <c r="F11" s="1">
        <v>24.7</v>
      </c>
      <c r="G11" s="1">
        <v>20.0</v>
      </c>
      <c r="L11" s="1" t="s">
        <v>21</v>
      </c>
    </row>
    <row r="12">
      <c r="A12" s="1" t="s">
        <v>22</v>
      </c>
      <c r="B12" s="1">
        <v>3.4</v>
      </c>
      <c r="C12" s="1">
        <v>5.3</v>
      </c>
      <c r="D12" s="1">
        <v>90.9</v>
      </c>
      <c r="E12" s="1">
        <v>81.0</v>
      </c>
      <c r="F12" s="1">
        <v>29.3</v>
      </c>
      <c r="G12" s="1">
        <v>23.0</v>
      </c>
      <c r="L12" s="2" t="str">
        <f>MATCH(A2, F2:F201, 0)</f>
        <v>#N/A</v>
      </c>
    </row>
    <row r="13">
      <c r="A13" s="1" t="s">
        <v>23</v>
      </c>
      <c r="B13" s="1">
        <v>6.6</v>
      </c>
      <c r="C13" s="1">
        <v>7.9</v>
      </c>
      <c r="D13" s="1">
        <v>87.6</v>
      </c>
      <c r="E13" s="1">
        <v>85.0</v>
      </c>
      <c r="F13" s="1">
        <v>35.1</v>
      </c>
      <c r="G13" s="1">
        <v>25.0</v>
      </c>
    </row>
    <row r="14">
      <c r="A14" s="1" t="s">
        <v>24</v>
      </c>
      <c r="B14" s="1">
        <v>1.3</v>
      </c>
      <c r="C14" s="1">
        <v>6.3</v>
      </c>
      <c r="D14" s="1">
        <v>83.6</v>
      </c>
      <c r="E14" s="1">
        <v>71.0</v>
      </c>
      <c r="F14" s="1">
        <v>31.2</v>
      </c>
      <c r="G14" s="1">
        <v>24.0</v>
      </c>
      <c r="L14" s="1" t="s">
        <v>25</v>
      </c>
    </row>
    <row r="15">
      <c r="A15" s="1" t="s">
        <v>26</v>
      </c>
      <c r="B15" s="1">
        <v>3.2</v>
      </c>
      <c r="C15" s="1">
        <v>6.1</v>
      </c>
      <c r="D15" s="1">
        <v>61.2</v>
      </c>
      <c r="E15" s="1">
        <v>68.0</v>
      </c>
      <c r="F15" s="1">
        <v>30.2</v>
      </c>
      <c r="G15" s="1">
        <v>26.0</v>
      </c>
      <c r="L15" s="2" t="str">
        <f>IF(F3&gt;30, "Pass", "Fail")</f>
        <v>Fail</v>
      </c>
    </row>
    <row r="16">
      <c r="A16" s="1" t="s">
        <v>27</v>
      </c>
      <c r="B16" s="1">
        <v>8.1</v>
      </c>
      <c r="C16" s="1">
        <v>8.8</v>
      </c>
      <c r="D16" s="1">
        <v>60.0</v>
      </c>
      <c r="E16" s="1">
        <v>90.0</v>
      </c>
      <c r="F16" s="1">
        <v>41.1</v>
      </c>
      <c r="G16" s="1">
        <v>28.0</v>
      </c>
    </row>
    <row r="17">
      <c r="A17" s="1" t="s">
        <v>28</v>
      </c>
      <c r="B17" s="1">
        <v>7.0</v>
      </c>
      <c r="C17" s="1">
        <v>9.0</v>
      </c>
      <c r="D17" s="1">
        <v>51.2</v>
      </c>
      <c r="E17" s="1">
        <v>41.0</v>
      </c>
      <c r="F17" s="1">
        <v>34.1</v>
      </c>
      <c r="G17" s="1">
        <v>25.0</v>
      </c>
    </row>
    <row r="18">
      <c r="A18" s="1" t="s">
        <v>29</v>
      </c>
      <c r="B18" s="1">
        <v>3.4</v>
      </c>
      <c r="C18" s="1">
        <v>6.8</v>
      </c>
      <c r="D18" s="1">
        <v>62.2</v>
      </c>
      <c r="E18" s="1">
        <v>45.0</v>
      </c>
      <c r="F18" s="1">
        <v>28.9</v>
      </c>
      <c r="G18" s="1">
        <v>25.0</v>
      </c>
      <c r="L18" s="1" t="s">
        <v>30</v>
      </c>
    </row>
    <row r="19">
      <c r="A19" s="1" t="s">
        <v>31</v>
      </c>
      <c r="B19" s="1">
        <v>7.5</v>
      </c>
      <c r="C19" s="1">
        <v>7.6</v>
      </c>
      <c r="D19" s="1">
        <v>73.8</v>
      </c>
      <c r="E19" s="1">
        <v>58.0</v>
      </c>
      <c r="F19" s="1">
        <v>36.3</v>
      </c>
      <c r="G19" s="1">
        <v>25.0</v>
      </c>
      <c r="L19" s="2" t="str">
        <f>IFS(F4&gt;50, "A", F4&gt;30, "B")</f>
        <v>B</v>
      </c>
    </row>
    <row r="20">
      <c r="A20" s="1" t="s">
        <v>32</v>
      </c>
      <c r="B20" s="1">
        <v>9.9</v>
      </c>
      <c r="C20" s="1">
        <v>4.8</v>
      </c>
      <c r="D20" s="1">
        <v>92.5</v>
      </c>
      <c r="E20" s="1">
        <v>54.0</v>
      </c>
      <c r="F20" s="1">
        <v>35.6</v>
      </c>
      <c r="G20" s="1">
        <v>23.0</v>
      </c>
    </row>
    <row r="21">
      <c r="A21" s="1" t="s">
        <v>33</v>
      </c>
      <c r="B21" s="1">
        <v>1.1</v>
      </c>
      <c r="C21" s="1">
        <v>5.5</v>
      </c>
      <c r="D21" s="1">
        <v>53.6</v>
      </c>
      <c r="E21" s="1">
        <v>65.0</v>
      </c>
      <c r="F21" s="1">
        <v>17.1</v>
      </c>
      <c r="G21" s="1">
        <v>15.0</v>
      </c>
    </row>
    <row r="22">
      <c r="A22" s="1" t="s">
        <v>34</v>
      </c>
      <c r="B22" s="1">
        <v>9.9</v>
      </c>
      <c r="C22" s="1">
        <v>8.8</v>
      </c>
      <c r="D22" s="1">
        <v>70.7</v>
      </c>
      <c r="E22" s="1">
        <v>84.0</v>
      </c>
      <c r="F22" s="1">
        <v>46.0</v>
      </c>
      <c r="G22" s="1">
        <v>16.0</v>
      </c>
    </row>
    <row r="23">
      <c r="A23" s="1" t="s">
        <v>35</v>
      </c>
      <c r="B23" s="1">
        <v>8.7</v>
      </c>
      <c r="C23" s="1">
        <v>6.9</v>
      </c>
      <c r="D23" s="1">
        <v>81.5</v>
      </c>
      <c r="E23" s="1">
        <v>55.0</v>
      </c>
      <c r="F23" s="1">
        <v>36.1</v>
      </c>
      <c r="G23" s="1">
        <v>17.0</v>
      </c>
    </row>
    <row r="24">
      <c r="A24" s="1" t="s">
        <v>36</v>
      </c>
      <c r="B24" s="1">
        <v>4.7</v>
      </c>
      <c r="C24" s="1">
        <v>6.7</v>
      </c>
      <c r="D24" s="1">
        <v>59.7</v>
      </c>
      <c r="E24" s="1">
        <v>59.0</v>
      </c>
      <c r="F24" s="1">
        <v>29.6</v>
      </c>
      <c r="G24" s="1">
        <v>15.0</v>
      </c>
    </row>
    <row r="25">
      <c r="A25" s="1" t="s">
        <v>37</v>
      </c>
      <c r="B25" s="1">
        <v>2.7</v>
      </c>
      <c r="C25" s="1">
        <v>7.7</v>
      </c>
      <c r="D25" s="1">
        <v>84.8</v>
      </c>
      <c r="E25" s="1">
        <v>82.0</v>
      </c>
      <c r="F25" s="1">
        <v>35.9</v>
      </c>
      <c r="G25" s="1">
        <v>19.0</v>
      </c>
    </row>
    <row r="26">
      <c r="A26" s="1" t="s">
        <v>38</v>
      </c>
      <c r="B26" s="1">
        <v>11.5</v>
      </c>
      <c r="C26" s="1">
        <v>4.3</v>
      </c>
      <c r="D26" s="1">
        <v>74.7</v>
      </c>
      <c r="E26" s="1">
        <v>77.0</v>
      </c>
      <c r="F26" s="1">
        <v>39.2</v>
      </c>
      <c r="G26" s="1">
        <v>18.0</v>
      </c>
    </row>
    <row r="27">
      <c r="A27" s="1" t="s">
        <v>39</v>
      </c>
      <c r="B27" s="1">
        <v>4.7</v>
      </c>
      <c r="C27" s="1">
        <v>6.9</v>
      </c>
      <c r="D27" s="1">
        <v>62.2</v>
      </c>
      <c r="E27" s="1">
        <v>63.0</v>
      </c>
      <c r="F27" s="1">
        <v>30.0</v>
      </c>
      <c r="G27" s="1">
        <v>14.0</v>
      </c>
    </row>
    <row r="28">
      <c r="A28" s="1" t="s">
        <v>40</v>
      </c>
      <c r="B28" s="1">
        <v>2.0</v>
      </c>
      <c r="C28" s="1">
        <v>6.5</v>
      </c>
      <c r="D28" s="1">
        <v>82.8</v>
      </c>
      <c r="E28" s="1">
        <v>70.0</v>
      </c>
      <c r="F28" s="1">
        <v>29.0</v>
      </c>
      <c r="G28" s="1">
        <v>17.0</v>
      </c>
    </row>
    <row r="29">
      <c r="A29" s="1" t="s">
        <v>41</v>
      </c>
      <c r="B29" s="1">
        <v>2.1</v>
      </c>
      <c r="C29" s="1">
        <v>8.3</v>
      </c>
      <c r="D29" s="1">
        <v>50.3</v>
      </c>
      <c r="E29" s="1">
        <v>75.0</v>
      </c>
      <c r="F29" s="1">
        <v>26.5</v>
      </c>
      <c r="G29" s="1">
        <v>20.0</v>
      </c>
    </row>
    <row r="30">
      <c r="A30" s="1" t="s">
        <v>42</v>
      </c>
      <c r="B30" s="1">
        <v>10.3</v>
      </c>
      <c r="C30" s="1">
        <v>4.8</v>
      </c>
      <c r="D30" s="1">
        <v>87.5</v>
      </c>
      <c r="E30" s="1">
        <v>73.0</v>
      </c>
      <c r="F30" s="1">
        <v>37.2</v>
      </c>
      <c r="G30" s="1">
        <v>20.0</v>
      </c>
    </row>
    <row r="31">
      <c r="A31" s="1" t="s">
        <v>43</v>
      </c>
      <c r="B31" s="1">
        <v>7.6</v>
      </c>
      <c r="C31" s="1">
        <v>8.8</v>
      </c>
      <c r="D31" s="1">
        <v>88.5</v>
      </c>
      <c r="E31" s="1">
        <v>62.0</v>
      </c>
      <c r="F31" s="1">
        <v>36.2</v>
      </c>
      <c r="G31" s="1">
        <v>23.0</v>
      </c>
    </row>
    <row r="32">
      <c r="A32" s="1" t="s">
        <v>44</v>
      </c>
      <c r="B32" s="1">
        <v>9.9</v>
      </c>
      <c r="C32" s="1">
        <v>4.4</v>
      </c>
      <c r="D32" s="1">
        <v>55.3</v>
      </c>
      <c r="E32" s="1">
        <v>67.0</v>
      </c>
      <c r="F32" s="1">
        <v>34.5</v>
      </c>
      <c r="G32" s="1">
        <v>25.0</v>
      </c>
    </row>
    <row r="33">
      <c r="A33" s="1" t="s">
        <v>45</v>
      </c>
      <c r="B33" s="1">
        <v>9.0</v>
      </c>
      <c r="C33" s="1">
        <v>4.9</v>
      </c>
      <c r="D33" s="1">
        <v>71.3</v>
      </c>
      <c r="E33" s="1">
        <v>87.0</v>
      </c>
      <c r="F33" s="1">
        <v>41.6</v>
      </c>
      <c r="G33" s="1">
        <v>24.0</v>
      </c>
    </row>
    <row r="34">
      <c r="A34" s="1" t="s">
        <v>46</v>
      </c>
      <c r="B34" s="1">
        <v>6.9</v>
      </c>
      <c r="C34" s="1">
        <v>7.0</v>
      </c>
      <c r="D34" s="1">
        <v>58.8</v>
      </c>
      <c r="E34" s="1">
        <v>75.0</v>
      </c>
      <c r="F34" s="1">
        <v>38.1</v>
      </c>
      <c r="G34" s="1">
        <v>26.0</v>
      </c>
    </row>
    <row r="35">
      <c r="A35" s="1" t="s">
        <v>47</v>
      </c>
      <c r="B35" s="1">
        <v>11.7</v>
      </c>
      <c r="C35" s="1">
        <v>7.4</v>
      </c>
      <c r="D35" s="1">
        <v>97.9</v>
      </c>
      <c r="E35" s="1">
        <v>61.0</v>
      </c>
      <c r="F35" s="1">
        <v>42.7</v>
      </c>
      <c r="G35" s="1">
        <v>28.0</v>
      </c>
    </row>
    <row r="36">
      <c r="A36" s="1" t="s">
        <v>48</v>
      </c>
      <c r="B36" s="1">
        <v>5.2</v>
      </c>
      <c r="C36" s="1">
        <v>5.2</v>
      </c>
      <c r="D36" s="1">
        <v>75.9</v>
      </c>
      <c r="E36" s="1">
        <v>62.0</v>
      </c>
      <c r="F36" s="1">
        <v>32.0</v>
      </c>
      <c r="G36" s="1">
        <v>25.0</v>
      </c>
    </row>
    <row r="37">
      <c r="A37" s="1" t="s">
        <v>49</v>
      </c>
      <c r="B37" s="1">
        <v>7.1</v>
      </c>
      <c r="C37" s="1">
        <v>4.6</v>
      </c>
      <c r="D37" s="1">
        <v>52.5</v>
      </c>
      <c r="E37" s="1">
        <v>84.0</v>
      </c>
      <c r="F37" s="1">
        <v>32.0</v>
      </c>
      <c r="G37" s="1">
        <v>25.0</v>
      </c>
    </row>
    <row r="38">
      <c r="A38" s="1" t="s">
        <v>50</v>
      </c>
      <c r="B38" s="1">
        <v>10.1</v>
      </c>
      <c r="C38" s="1">
        <v>8.5</v>
      </c>
      <c r="D38" s="1">
        <v>62.5</v>
      </c>
      <c r="E38" s="1">
        <v>69.0</v>
      </c>
      <c r="F38" s="1">
        <v>44.7</v>
      </c>
      <c r="G38" s="1">
        <v>25.0</v>
      </c>
    </row>
    <row r="39">
      <c r="A39" s="1" t="s">
        <v>51</v>
      </c>
      <c r="B39" s="1">
        <v>7.8</v>
      </c>
      <c r="C39" s="1">
        <v>5.2</v>
      </c>
      <c r="D39" s="1">
        <v>92.4</v>
      </c>
      <c r="E39" s="1">
        <v>57.0</v>
      </c>
      <c r="F39" s="1">
        <v>38.3</v>
      </c>
      <c r="G39" s="1">
        <v>23.0</v>
      </c>
    </row>
    <row r="40">
      <c r="A40" s="1" t="s">
        <v>52</v>
      </c>
      <c r="B40" s="1">
        <v>10.5</v>
      </c>
      <c r="C40" s="1">
        <v>7.0</v>
      </c>
      <c r="D40" s="1">
        <v>72.8</v>
      </c>
      <c r="E40" s="1">
        <v>59.0</v>
      </c>
      <c r="F40" s="1">
        <v>39.8</v>
      </c>
      <c r="G40" s="1">
        <v>15.0</v>
      </c>
    </row>
    <row r="41">
      <c r="A41" s="1" t="s">
        <v>53</v>
      </c>
      <c r="B41" s="1">
        <v>7.4</v>
      </c>
      <c r="C41" s="1">
        <v>7.1</v>
      </c>
      <c r="D41" s="1">
        <v>90.1</v>
      </c>
      <c r="E41" s="1">
        <v>56.0</v>
      </c>
      <c r="F41" s="1">
        <v>35.0</v>
      </c>
      <c r="G41" s="1">
        <v>16.0</v>
      </c>
    </row>
    <row r="42">
      <c r="A42" s="1" t="s">
        <v>54</v>
      </c>
      <c r="B42" s="1">
        <v>8.8</v>
      </c>
      <c r="C42" s="1">
        <v>6.1</v>
      </c>
      <c r="D42" s="1">
        <v>83.4</v>
      </c>
      <c r="E42" s="1">
        <v>54.0</v>
      </c>
      <c r="F42" s="1">
        <v>34.2</v>
      </c>
      <c r="G42" s="1">
        <v>17.0</v>
      </c>
    </row>
    <row r="43">
      <c r="A43" s="1" t="s">
        <v>55</v>
      </c>
      <c r="B43" s="1">
        <v>1.5</v>
      </c>
      <c r="C43" s="1">
        <v>6.9</v>
      </c>
      <c r="D43" s="1">
        <v>99.4</v>
      </c>
      <c r="E43" s="1">
        <v>47.0</v>
      </c>
      <c r="F43" s="1">
        <v>23.1</v>
      </c>
      <c r="G43" s="1">
        <v>15.0</v>
      </c>
    </row>
    <row r="44">
      <c r="A44" s="1" t="s">
        <v>56</v>
      </c>
      <c r="B44" s="1">
        <v>3.5</v>
      </c>
      <c r="C44" s="1">
        <v>6.6</v>
      </c>
      <c r="D44" s="1">
        <v>79.8</v>
      </c>
      <c r="E44" s="1">
        <v>86.0</v>
      </c>
      <c r="F44" s="1">
        <v>37.2</v>
      </c>
      <c r="G44" s="1">
        <v>19.0</v>
      </c>
    </row>
    <row r="45">
      <c r="A45" s="1" t="s">
        <v>57</v>
      </c>
      <c r="B45" s="1">
        <v>4.2</v>
      </c>
      <c r="C45" s="1">
        <v>8.7</v>
      </c>
      <c r="D45" s="1">
        <v>97.5</v>
      </c>
      <c r="E45" s="1">
        <v>52.0</v>
      </c>
      <c r="F45" s="1">
        <v>30.3</v>
      </c>
      <c r="G45" s="1">
        <v>18.0</v>
      </c>
    </row>
    <row r="46">
      <c r="A46" s="1" t="s">
        <v>58</v>
      </c>
      <c r="B46" s="1">
        <v>1.9</v>
      </c>
      <c r="C46" s="1">
        <v>5.0</v>
      </c>
      <c r="D46" s="1">
        <v>94.6</v>
      </c>
      <c r="E46" s="1">
        <v>60.0</v>
      </c>
      <c r="F46" s="1">
        <v>26.1</v>
      </c>
      <c r="G46" s="1">
        <v>14.0</v>
      </c>
    </row>
    <row r="47">
      <c r="A47" s="1" t="s">
        <v>59</v>
      </c>
      <c r="B47" s="1">
        <v>3.6</v>
      </c>
      <c r="C47" s="1">
        <v>7.6</v>
      </c>
      <c r="D47" s="1">
        <v>80.6</v>
      </c>
      <c r="E47" s="1">
        <v>47.0</v>
      </c>
      <c r="F47" s="1">
        <v>31.8</v>
      </c>
      <c r="G47" s="1">
        <v>17.0</v>
      </c>
    </row>
    <row r="48">
      <c r="A48" s="1" t="s">
        <v>60</v>
      </c>
      <c r="B48" s="1">
        <v>2.1</v>
      </c>
      <c r="C48" s="1">
        <v>5.2</v>
      </c>
      <c r="D48" s="1">
        <v>86.0</v>
      </c>
      <c r="E48" s="1">
        <v>87.0</v>
      </c>
      <c r="F48" s="1">
        <v>31.6</v>
      </c>
      <c r="G48" s="1">
        <v>20.0</v>
      </c>
    </row>
    <row r="49">
      <c r="A49" s="1" t="s">
        <v>61</v>
      </c>
      <c r="B49" s="1">
        <v>4.1</v>
      </c>
      <c r="C49" s="1">
        <v>6.0</v>
      </c>
      <c r="D49" s="1">
        <v>75.2</v>
      </c>
      <c r="E49" s="1">
        <v>74.0</v>
      </c>
      <c r="F49" s="1">
        <v>31.1</v>
      </c>
      <c r="G49" s="1">
        <v>20.0</v>
      </c>
    </row>
    <row r="50">
      <c r="A50" s="1" t="s">
        <v>62</v>
      </c>
      <c r="B50" s="1">
        <v>8.0</v>
      </c>
      <c r="C50" s="1">
        <v>7.4</v>
      </c>
      <c r="D50" s="1">
        <v>91.5</v>
      </c>
      <c r="E50" s="1">
        <v>88.0</v>
      </c>
      <c r="F50" s="1">
        <v>41.2</v>
      </c>
      <c r="G50" s="1">
        <v>23.0</v>
      </c>
    </row>
    <row r="51">
      <c r="A51" s="1" t="s">
        <v>63</v>
      </c>
      <c r="B51" s="1">
        <v>5.0</v>
      </c>
      <c r="C51" s="1">
        <v>5.5</v>
      </c>
      <c r="D51" s="1">
        <v>77.4</v>
      </c>
      <c r="E51" s="1">
        <v>84.0</v>
      </c>
      <c r="F51" s="1">
        <v>30.6</v>
      </c>
      <c r="G51" s="1">
        <v>25.0</v>
      </c>
    </row>
    <row r="52">
      <c r="A52" s="1" t="s">
        <v>64</v>
      </c>
      <c r="B52" s="1">
        <v>5.1</v>
      </c>
      <c r="C52" s="1">
        <v>5.6</v>
      </c>
      <c r="D52" s="1">
        <v>94.9</v>
      </c>
      <c r="E52" s="1">
        <v>51.0</v>
      </c>
      <c r="F52" s="1">
        <v>28.8</v>
      </c>
      <c r="G52" s="1">
        <v>24.0</v>
      </c>
    </row>
    <row r="53">
      <c r="A53" s="1" t="s">
        <v>65</v>
      </c>
      <c r="B53" s="1">
        <v>3.3</v>
      </c>
      <c r="C53" s="1">
        <v>7.8</v>
      </c>
      <c r="D53" s="1">
        <v>87.2</v>
      </c>
      <c r="E53" s="1">
        <v>52.0</v>
      </c>
      <c r="F53" s="1">
        <v>30.7</v>
      </c>
      <c r="G53" s="1">
        <v>26.0</v>
      </c>
    </row>
    <row r="54">
      <c r="A54" s="1" t="s">
        <v>66</v>
      </c>
      <c r="B54" s="1">
        <v>3.9</v>
      </c>
      <c r="C54" s="1">
        <v>4.4</v>
      </c>
      <c r="D54" s="1">
        <v>73.7</v>
      </c>
      <c r="E54" s="1">
        <v>53.0</v>
      </c>
      <c r="F54" s="1">
        <v>26.9</v>
      </c>
      <c r="G54" s="1">
        <v>28.0</v>
      </c>
    </row>
    <row r="55">
      <c r="A55" s="1" t="s">
        <v>67</v>
      </c>
      <c r="B55" s="1">
        <v>11.3</v>
      </c>
      <c r="C55" s="1">
        <v>6.3</v>
      </c>
      <c r="D55" s="1">
        <v>63.0</v>
      </c>
      <c r="E55" s="1">
        <v>87.0</v>
      </c>
      <c r="F55" s="1">
        <v>46.4</v>
      </c>
      <c r="G55" s="1">
        <v>25.0</v>
      </c>
    </row>
    <row r="56">
      <c r="A56" s="1" t="s">
        <v>68</v>
      </c>
      <c r="B56" s="1">
        <v>8.1</v>
      </c>
      <c r="C56" s="1">
        <v>9.0</v>
      </c>
      <c r="D56" s="1">
        <v>62.4</v>
      </c>
      <c r="E56" s="1">
        <v>70.0</v>
      </c>
      <c r="F56" s="1">
        <v>34.4</v>
      </c>
      <c r="G56" s="1">
        <v>25.0</v>
      </c>
    </row>
    <row r="57">
      <c r="A57" s="1" t="s">
        <v>69</v>
      </c>
      <c r="B57" s="1">
        <v>7.7</v>
      </c>
      <c r="C57" s="1">
        <v>9.0</v>
      </c>
      <c r="D57" s="1">
        <v>81.9</v>
      </c>
      <c r="E57" s="1">
        <v>57.0</v>
      </c>
      <c r="F57" s="1">
        <v>37.0</v>
      </c>
      <c r="G57" s="1">
        <v>25.0</v>
      </c>
    </row>
    <row r="58">
      <c r="A58" s="1" t="s">
        <v>70</v>
      </c>
      <c r="B58" s="1">
        <v>2.9</v>
      </c>
      <c r="C58" s="1">
        <v>4.4</v>
      </c>
      <c r="D58" s="1">
        <v>88.3</v>
      </c>
      <c r="E58" s="1">
        <v>86.0</v>
      </c>
      <c r="F58" s="1">
        <v>35.2</v>
      </c>
      <c r="G58" s="1">
        <v>23.0</v>
      </c>
    </row>
    <row r="59">
      <c r="A59" s="1" t="s">
        <v>71</v>
      </c>
      <c r="B59" s="1">
        <v>9.0</v>
      </c>
      <c r="C59" s="1">
        <v>5.1</v>
      </c>
      <c r="D59" s="1">
        <v>76.1</v>
      </c>
      <c r="E59" s="1">
        <v>77.0</v>
      </c>
      <c r="F59" s="1">
        <v>38.2</v>
      </c>
      <c r="G59" s="1">
        <v>15.0</v>
      </c>
    </row>
    <row r="60">
      <c r="A60" s="1" t="s">
        <v>72</v>
      </c>
      <c r="B60" s="1">
        <v>2.8</v>
      </c>
      <c r="C60" s="1">
        <v>5.3</v>
      </c>
      <c r="D60" s="1">
        <v>81.3</v>
      </c>
      <c r="E60" s="1">
        <v>88.0</v>
      </c>
      <c r="F60" s="1">
        <v>33.0</v>
      </c>
      <c r="G60" s="1">
        <v>16.0</v>
      </c>
    </row>
    <row r="61">
      <c r="A61" s="1" t="s">
        <v>73</v>
      </c>
      <c r="B61" s="1">
        <v>5.2</v>
      </c>
      <c r="C61" s="1">
        <v>8.7</v>
      </c>
      <c r="D61" s="1">
        <v>63.7</v>
      </c>
      <c r="E61" s="1">
        <v>73.0</v>
      </c>
      <c r="F61" s="1">
        <v>29.2</v>
      </c>
      <c r="G61" s="1">
        <v>17.0</v>
      </c>
    </row>
    <row r="62">
      <c r="A62" s="1" t="s">
        <v>74</v>
      </c>
      <c r="B62" s="1">
        <v>11.9</v>
      </c>
      <c r="C62" s="1">
        <v>8.4</v>
      </c>
      <c r="D62" s="1">
        <v>53.9</v>
      </c>
      <c r="E62" s="1">
        <v>78.0</v>
      </c>
      <c r="F62" s="1">
        <v>48.6</v>
      </c>
      <c r="G62" s="1">
        <v>15.0</v>
      </c>
    </row>
    <row r="63">
      <c r="A63" s="1" t="s">
        <v>75</v>
      </c>
      <c r="B63" s="1">
        <v>8.0</v>
      </c>
      <c r="C63" s="1">
        <v>8.4</v>
      </c>
      <c r="D63" s="1">
        <v>64.3</v>
      </c>
      <c r="E63" s="1">
        <v>58.0</v>
      </c>
      <c r="F63" s="1">
        <v>36.1</v>
      </c>
      <c r="G63" s="1">
        <v>19.0</v>
      </c>
    </row>
    <row r="64">
      <c r="A64" s="1" t="s">
        <v>76</v>
      </c>
      <c r="B64" s="1">
        <v>7.1</v>
      </c>
      <c r="C64" s="1">
        <v>5.8</v>
      </c>
      <c r="D64" s="1">
        <v>63.6</v>
      </c>
      <c r="E64" s="1">
        <v>46.0</v>
      </c>
      <c r="F64" s="1">
        <v>27.1</v>
      </c>
      <c r="G64" s="1">
        <v>18.0</v>
      </c>
    </row>
    <row r="65">
      <c r="A65" s="1" t="s">
        <v>77</v>
      </c>
      <c r="B65" s="1">
        <v>8.5</v>
      </c>
      <c r="C65" s="1">
        <v>4.8</v>
      </c>
      <c r="D65" s="1">
        <v>66.0</v>
      </c>
      <c r="E65" s="1">
        <v>93.0</v>
      </c>
      <c r="F65" s="1">
        <v>36.1</v>
      </c>
      <c r="G65" s="1">
        <v>14.0</v>
      </c>
    </row>
    <row r="66">
      <c r="A66" s="1" t="s">
        <v>78</v>
      </c>
      <c r="B66" s="1">
        <v>10.3</v>
      </c>
      <c r="C66" s="1">
        <v>8.2</v>
      </c>
      <c r="D66" s="1">
        <v>77.0</v>
      </c>
      <c r="E66" s="1">
        <v>52.0</v>
      </c>
      <c r="F66" s="1">
        <v>39.5</v>
      </c>
      <c r="G66" s="1">
        <v>17.0</v>
      </c>
    </row>
    <row r="67">
      <c r="A67" s="1" t="s">
        <v>79</v>
      </c>
      <c r="B67" s="1">
        <v>9.5</v>
      </c>
      <c r="C67" s="1">
        <v>7.5</v>
      </c>
      <c r="D67" s="1">
        <v>56.9</v>
      </c>
      <c r="E67" s="1">
        <v>58.0</v>
      </c>
      <c r="F67" s="1">
        <v>36.7</v>
      </c>
      <c r="G67" s="1">
        <v>20.0</v>
      </c>
    </row>
    <row r="68">
      <c r="A68" s="1" t="s">
        <v>80</v>
      </c>
      <c r="B68" s="1">
        <v>3.5</v>
      </c>
      <c r="C68" s="1">
        <v>7.1</v>
      </c>
      <c r="D68" s="1">
        <v>61.6</v>
      </c>
      <c r="E68" s="1">
        <v>54.0</v>
      </c>
      <c r="F68" s="1">
        <v>21.7</v>
      </c>
      <c r="G68" s="1">
        <v>20.0</v>
      </c>
    </row>
    <row r="69">
      <c r="A69" s="1" t="s">
        <v>81</v>
      </c>
      <c r="B69" s="1">
        <v>1.4</v>
      </c>
      <c r="C69" s="1">
        <v>8.9</v>
      </c>
      <c r="D69" s="1">
        <v>84.7</v>
      </c>
      <c r="E69" s="1">
        <v>63.0</v>
      </c>
      <c r="F69" s="1">
        <v>32.2</v>
      </c>
      <c r="G69" s="1">
        <v>23.0</v>
      </c>
    </row>
    <row r="70">
      <c r="A70" s="1" t="s">
        <v>82</v>
      </c>
      <c r="B70" s="1">
        <v>4.5</v>
      </c>
      <c r="C70" s="1">
        <v>7.3</v>
      </c>
      <c r="D70" s="1">
        <v>85.3</v>
      </c>
      <c r="E70" s="1">
        <v>51.0</v>
      </c>
      <c r="F70" s="1">
        <v>33.5</v>
      </c>
      <c r="G70" s="1">
        <v>25.0</v>
      </c>
    </row>
    <row r="71">
      <c r="A71" s="1" t="s">
        <v>83</v>
      </c>
      <c r="B71" s="1">
        <v>3.9</v>
      </c>
      <c r="C71" s="1">
        <v>4.0</v>
      </c>
      <c r="D71" s="1">
        <v>53.2</v>
      </c>
      <c r="E71" s="1">
        <v>59.0</v>
      </c>
      <c r="F71" s="1">
        <v>23.9</v>
      </c>
      <c r="G71" s="1">
        <v>24.0</v>
      </c>
    </row>
    <row r="72">
      <c r="A72" s="1" t="s">
        <v>84</v>
      </c>
      <c r="B72" s="1">
        <v>3.3</v>
      </c>
      <c r="C72" s="1">
        <v>8.1</v>
      </c>
      <c r="D72" s="1">
        <v>70.4</v>
      </c>
      <c r="E72" s="1">
        <v>40.0</v>
      </c>
      <c r="F72" s="1">
        <v>20.8</v>
      </c>
      <c r="G72" s="1">
        <v>26.0</v>
      </c>
    </row>
    <row r="73">
      <c r="A73" s="1" t="s">
        <v>85</v>
      </c>
      <c r="B73" s="1">
        <v>11.4</v>
      </c>
      <c r="C73" s="1">
        <v>5.5</v>
      </c>
      <c r="D73" s="1">
        <v>77.1</v>
      </c>
      <c r="E73" s="1">
        <v>85.0</v>
      </c>
      <c r="F73" s="1">
        <v>47.9</v>
      </c>
      <c r="G73" s="1">
        <v>28.0</v>
      </c>
    </row>
    <row r="74">
      <c r="A74" s="1" t="s">
        <v>86</v>
      </c>
      <c r="B74" s="1">
        <v>10.6</v>
      </c>
      <c r="C74" s="1">
        <v>7.3</v>
      </c>
      <c r="D74" s="1">
        <v>70.8</v>
      </c>
      <c r="E74" s="1">
        <v>74.0</v>
      </c>
      <c r="F74" s="1">
        <v>41.9</v>
      </c>
      <c r="G74" s="1">
        <v>25.0</v>
      </c>
    </row>
    <row r="75">
      <c r="A75" s="1" t="s">
        <v>87</v>
      </c>
      <c r="B75" s="1">
        <v>4.5</v>
      </c>
      <c r="C75" s="1">
        <v>8.7</v>
      </c>
      <c r="D75" s="1">
        <v>60.3</v>
      </c>
      <c r="E75" s="1">
        <v>48.0</v>
      </c>
      <c r="F75" s="1">
        <v>29.5</v>
      </c>
      <c r="G75" s="1">
        <v>25.0</v>
      </c>
    </row>
    <row r="76">
      <c r="A76" s="1" t="s">
        <v>88</v>
      </c>
      <c r="B76" s="1">
        <v>8.2</v>
      </c>
      <c r="C76" s="1">
        <v>4.7</v>
      </c>
      <c r="D76" s="1">
        <v>71.0</v>
      </c>
      <c r="E76" s="1">
        <v>57.0</v>
      </c>
      <c r="F76" s="1">
        <v>33.5</v>
      </c>
      <c r="G76" s="1">
        <v>25.0</v>
      </c>
    </row>
    <row r="77">
      <c r="A77" s="1" t="s">
        <v>89</v>
      </c>
      <c r="B77" s="1">
        <v>5.4</v>
      </c>
      <c r="C77" s="1">
        <v>4.6</v>
      </c>
      <c r="D77" s="1">
        <v>95.2</v>
      </c>
      <c r="E77" s="1">
        <v>42.0</v>
      </c>
      <c r="F77" s="1">
        <v>26.3</v>
      </c>
      <c r="G77" s="1">
        <v>23.0</v>
      </c>
    </row>
    <row r="78">
      <c r="A78" s="1" t="s">
        <v>90</v>
      </c>
      <c r="B78" s="1">
        <v>11.1</v>
      </c>
      <c r="C78" s="1">
        <v>4.5</v>
      </c>
      <c r="D78" s="1">
        <v>79.2</v>
      </c>
      <c r="E78" s="1">
        <v>43.0</v>
      </c>
      <c r="F78" s="1">
        <v>39.9</v>
      </c>
      <c r="G78" s="1">
        <v>15.0</v>
      </c>
    </row>
    <row r="79">
      <c r="A79" s="1" t="s">
        <v>91</v>
      </c>
      <c r="B79" s="1">
        <v>6.0</v>
      </c>
      <c r="C79" s="1">
        <v>6.8</v>
      </c>
      <c r="D79" s="1">
        <v>84.8</v>
      </c>
      <c r="E79" s="1">
        <v>75.0</v>
      </c>
      <c r="F79" s="1">
        <v>40.3</v>
      </c>
      <c r="G79" s="1">
        <v>16.0</v>
      </c>
    </row>
    <row r="80">
      <c r="A80" s="1" t="s">
        <v>92</v>
      </c>
      <c r="B80" s="1">
        <v>3.9</v>
      </c>
      <c r="C80" s="1">
        <v>5.4</v>
      </c>
      <c r="D80" s="1">
        <v>92.8</v>
      </c>
      <c r="E80" s="1">
        <v>58.0</v>
      </c>
      <c r="F80" s="1">
        <v>26.5</v>
      </c>
      <c r="G80" s="1">
        <v>17.0</v>
      </c>
    </row>
    <row r="81">
      <c r="A81" s="1" t="s">
        <v>93</v>
      </c>
      <c r="B81" s="1">
        <v>3.7</v>
      </c>
      <c r="C81" s="1">
        <v>7.0</v>
      </c>
      <c r="D81" s="1">
        <v>88.3</v>
      </c>
      <c r="E81" s="1">
        <v>84.0</v>
      </c>
      <c r="F81" s="1">
        <v>34.2</v>
      </c>
      <c r="G81" s="1">
        <v>15.0</v>
      </c>
    </row>
    <row r="82">
      <c r="A82" s="1" t="s">
        <v>94</v>
      </c>
      <c r="B82" s="1">
        <v>7.2</v>
      </c>
      <c r="C82" s="1">
        <v>7.6</v>
      </c>
      <c r="D82" s="1">
        <v>69.0</v>
      </c>
      <c r="E82" s="1">
        <v>48.0</v>
      </c>
      <c r="F82" s="1">
        <v>30.8</v>
      </c>
      <c r="G82" s="1">
        <v>19.0</v>
      </c>
    </row>
    <row r="83">
      <c r="A83" s="1" t="s">
        <v>95</v>
      </c>
      <c r="B83" s="1">
        <v>3.9</v>
      </c>
      <c r="C83" s="1">
        <v>5.0</v>
      </c>
      <c r="D83" s="1">
        <v>50.3</v>
      </c>
      <c r="E83" s="1">
        <v>80.0</v>
      </c>
      <c r="F83" s="1">
        <v>32.4</v>
      </c>
      <c r="G83" s="1">
        <v>18.0</v>
      </c>
    </row>
    <row r="84">
      <c r="A84" s="1" t="s">
        <v>96</v>
      </c>
      <c r="B84" s="1">
        <v>7.4</v>
      </c>
      <c r="C84" s="1">
        <v>7.2</v>
      </c>
      <c r="D84" s="1">
        <v>67.6</v>
      </c>
      <c r="E84" s="1">
        <v>95.0</v>
      </c>
      <c r="F84" s="1">
        <v>39.8</v>
      </c>
      <c r="G84" s="1">
        <v>14.0</v>
      </c>
    </row>
    <row r="85">
      <c r="A85" s="1" t="s">
        <v>97</v>
      </c>
      <c r="B85" s="1">
        <v>10.9</v>
      </c>
      <c r="C85" s="1">
        <v>5.3</v>
      </c>
      <c r="D85" s="1">
        <v>87.7</v>
      </c>
      <c r="E85" s="1">
        <v>88.0</v>
      </c>
      <c r="F85" s="1">
        <v>48.9</v>
      </c>
      <c r="G85" s="1">
        <v>17.0</v>
      </c>
    </row>
    <row r="86">
      <c r="A86" s="1" t="s">
        <v>98</v>
      </c>
      <c r="B86" s="1">
        <v>5.4</v>
      </c>
      <c r="C86" s="1">
        <v>6.4</v>
      </c>
      <c r="D86" s="1">
        <v>92.7</v>
      </c>
      <c r="E86" s="1">
        <v>71.0</v>
      </c>
      <c r="F86" s="1">
        <v>38.0</v>
      </c>
      <c r="G86" s="1">
        <v>20.0</v>
      </c>
    </row>
    <row r="87">
      <c r="A87" s="1" t="s">
        <v>99</v>
      </c>
      <c r="B87" s="1">
        <v>3.4</v>
      </c>
      <c r="C87" s="1">
        <v>8.5</v>
      </c>
      <c r="D87" s="1">
        <v>97.7</v>
      </c>
      <c r="E87" s="1">
        <v>46.0</v>
      </c>
      <c r="F87" s="1">
        <v>26.5</v>
      </c>
      <c r="G87" s="1">
        <v>20.0</v>
      </c>
    </row>
    <row r="88">
      <c r="A88" s="1" t="s">
        <v>100</v>
      </c>
      <c r="B88" s="1">
        <v>12.0</v>
      </c>
      <c r="C88" s="1">
        <v>8.2</v>
      </c>
      <c r="D88" s="1">
        <v>71.0</v>
      </c>
      <c r="E88" s="1">
        <v>95.0</v>
      </c>
      <c r="F88" s="1">
        <v>51.3</v>
      </c>
      <c r="G88" s="1">
        <v>23.0</v>
      </c>
    </row>
    <row r="89">
      <c r="A89" s="1" t="s">
        <v>101</v>
      </c>
      <c r="B89" s="1">
        <v>6.6</v>
      </c>
      <c r="C89" s="1">
        <v>4.5</v>
      </c>
      <c r="D89" s="1">
        <v>87.4</v>
      </c>
      <c r="E89" s="1">
        <v>40.0</v>
      </c>
      <c r="F89" s="1">
        <v>28.6</v>
      </c>
      <c r="G89" s="1">
        <v>25.0</v>
      </c>
    </row>
    <row r="90">
      <c r="A90" s="1" t="s">
        <v>102</v>
      </c>
      <c r="B90" s="1">
        <v>2.0</v>
      </c>
      <c r="C90" s="1">
        <v>6.1</v>
      </c>
      <c r="D90" s="1">
        <v>77.3</v>
      </c>
      <c r="E90" s="1">
        <v>76.0</v>
      </c>
      <c r="F90" s="1">
        <v>32.1</v>
      </c>
      <c r="G90" s="1">
        <v>24.0</v>
      </c>
    </row>
    <row r="91">
      <c r="A91" s="1" t="s">
        <v>103</v>
      </c>
      <c r="B91" s="1">
        <v>1.5</v>
      </c>
      <c r="C91" s="1">
        <v>5.4</v>
      </c>
      <c r="D91" s="1">
        <v>80.2</v>
      </c>
      <c r="E91" s="1">
        <v>58.0</v>
      </c>
      <c r="F91" s="1">
        <v>23.9</v>
      </c>
      <c r="G91" s="1">
        <v>26.0</v>
      </c>
    </row>
    <row r="92">
      <c r="A92" s="1" t="s">
        <v>104</v>
      </c>
      <c r="B92" s="1">
        <v>2.2</v>
      </c>
      <c r="C92" s="1">
        <v>4.0</v>
      </c>
      <c r="D92" s="1">
        <v>61.0</v>
      </c>
      <c r="E92" s="1">
        <v>70.0</v>
      </c>
      <c r="F92" s="1">
        <v>27.3</v>
      </c>
      <c r="G92" s="1">
        <v>28.0</v>
      </c>
    </row>
    <row r="93">
      <c r="A93" s="1" t="s">
        <v>105</v>
      </c>
      <c r="B93" s="1">
        <v>7.9</v>
      </c>
      <c r="C93" s="1">
        <v>7.9</v>
      </c>
      <c r="D93" s="1">
        <v>61.0</v>
      </c>
      <c r="E93" s="1">
        <v>70.0</v>
      </c>
      <c r="F93" s="1">
        <v>34.0</v>
      </c>
      <c r="G93" s="1">
        <v>25.0</v>
      </c>
    </row>
    <row r="94">
      <c r="A94" s="1" t="s">
        <v>106</v>
      </c>
      <c r="B94" s="1">
        <v>9.7</v>
      </c>
      <c r="C94" s="1">
        <v>7.2</v>
      </c>
      <c r="D94" s="1">
        <v>71.8</v>
      </c>
      <c r="E94" s="1">
        <v>68.0</v>
      </c>
      <c r="F94" s="1">
        <v>37.5</v>
      </c>
      <c r="G94" s="1">
        <v>25.0</v>
      </c>
    </row>
    <row r="95">
      <c r="A95" s="1" t="s">
        <v>107</v>
      </c>
      <c r="B95" s="1">
        <v>5.6</v>
      </c>
      <c r="C95" s="1">
        <v>5.3</v>
      </c>
      <c r="D95" s="1">
        <v>51.5</v>
      </c>
      <c r="E95" s="1">
        <v>61.0</v>
      </c>
      <c r="F95" s="1">
        <v>29.1</v>
      </c>
      <c r="G95" s="1">
        <v>25.0</v>
      </c>
    </row>
    <row r="96">
      <c r="A96" s="1" t="s">
        <v>108</v>
      </c>
      <c r="B96" s="1">
        <v>1.7</v>
      </c>
      <c r="C96" s="1">
        <v>7.7</v>
      </c>
      <c r="D96" s="1">
        <v>66.8</v>
      </c>
      <c r="E96" s="1">
        <v>51.0</v>
      </c>
      <c r="F96" s="1">
        <v>28.1</v>
      </c>
      <c r="G96" s="1">
        <v>23.0</v>
      </c>
    </row>
    <row r="97">
      <c r="A97" s="1" t="s">
        <v>109</v>
      </c>
      <c r="B97" s="1">
        <v>5.2</v>
      </c>
      <c r="C97" s="1">
        <v>6.8</v>
      </c>
      <c r="D97" s="1">
        <v>84.0</v>
      </c>
      <c r="E97" s="1">
        <v>43.0</v>
      </c>
      <c r="F97" s="1">
        <v>28.7</v>
      </c>
      <c r="G97" s="1">
        <v>15.0</v>
      </c>
    </row>
    <row r="98">
      <c r="A98" s="1" t="s">
        <v>110</v>
      </c>
      <c r="B98" s="1">
        <v>12.0</v>
      </c>
      <c r="C98" s="1">
        <v>6.1</v>
      </c>
      <c r="D98" s="1">
        <v>70.2</v>
      </c>
      <c r="E98" s="1">
        <v>56.0</v>
      </c>
      <c r="F98" s="1">
        <v>36.9</v>
      </c>
      <c r="G98" s="1">
        <v>16.0</v>
      </c>
    </row>
    <row r="99">
      <c r="A99" s="1" t="s">
        <v>111</v>
      </c>
      <c r="B99" s="1">
        <v>6.8</v>
      </c>
      <c r="C99" s="1">
        <v>4.0</v>
      </c>
      <c r="D99" s="1">
        <v>58.3</v>
      </c>
      <c r="E99" s="1">
        <v>95.0</v>
      </c>
      <c r="F99" s="1">
        <v>36.0</v>
      </c>
      <c r="G99" s="1">
        <v>17.0</v>
      </c>
    </row>
    <row r="100">
      <c r="A100" s="1" t="s">
        <v>112</v>
      </c>
      <c r="B100" s="1">
        <v>11.7</v>
      </c>
      <c r="C100" s="1">
        <v>4.4</v>
      </c>
      <c r="D100" s="1">
        <v>73.4</v>
      </c>
      <c r="E100" s="1">
        <v>70.0</v>
      </c>
      <c r="F100" s="1">
        <v>39.9</v>
      </c>
      <c r="G100" s="1">
        <v>15.0</v>
      </c>
    </row>
    <row r="101">
      <c r="A101" s="1" t="s">
        <v>113</v>
      </c>
      <c r="B101" s="1">
        <v>10.5</v>
      </c>
      <c r="C101" s="1">
        <v>8.4</v>
      </c>
      <c r="D101" s="1">
        <v>56.4</v>
      </c>
      <c r="E101" s="1">
        <v>47.0</v>
      </c>
      <c r="F101" s="1">
        <v>37.1</v>
      </c>
      <c r="G101" s="1">
        <v>19.0</v>
      </c>
    </row>
    <row r="102">
      <c r="A102" s="1" t="s">
        <v>114</v>
      </c>
      <c r="B102" s="1">
        <v>1.1</v>
      </c>
      <c r="C102" s="1">
        <v>8.5</v>
      </c>
      <c r="D102" s="1">
        <v>81.1</v>
      </c>
      <c r="E102" s="1">
        <v>92.0</v>
      </c>
      <c r="F102" s="1">
        <v>31.4</v>
      </c>
      <c r="G102" s="1">
        <v>18.0</v>
      </c>
    </row>
    <row r="103">
      <c r="A103" s="1" t="s">
        <v>115</v>
      </c>
      <c r="B103" s="1">
        <v>8.9</v>
      </c>
      <c r="C103" s="1">
        <v>6.7</v>
      </c>
      <c r="D103" s="1">
        <v>51.3</v>
      </c>
      <c r="E103" s="1">
        <v>44.0</v>
      </c>
      <c r="F103" s="1">
        <v>31.3</v>
      </c>
      <c r="G103" s="1">
        <v>14.0</v>
      </c>
    </row>
    <row r="104">
      <c r="A104" s="1" t="s">
        <v>116</v>
      </c>
      <c r="B104" s="1">
        <v>8.5</v>
      </c>
      <c r="C104" s="1">
        <v>8.2</v>
      </c>
      <c r="D104" s="1">
        <v>69.7</v>
      </c>
      <c r="E104" s="1">
        <v>65.0</v>
      </c>
      <c r="F104" s="1">
        <v>35.7</v>
      </c>
      <c r="G104" s="1">
        <v>17.0</v>
      </c>
    </row>
    <row r="105">
      <c r="A105" s="1" t="s">
        <v>117</v>
      </c>
      <c r="B105" s="1">
        <v>6.9</v>
      </c>
      <c r="C105" s="1">
        <v>6.9</v>
      </c>
      <c r="D105" s="1">
        <v>78.2</v>
      </c>
      <c r="E105" s="1">
        <v>71.0</v>
      </c>
      <c r="F105" s="1">
        <v>32.6</v>
      </c>
      <c r="G105" s="1">
        <v>20.0</v>
      </c>
    </row>
    <row r="106">
      <c r="A106" s="1" t="s">
        <v>118</v>
      </c>
      <c r="B106" s="1">
        <v>3.9</v>
      </c>
      <c r="C106" s="1">
        <v>4.7</v>
      </c>
      <c r="D106" s="1">
        <v>51.4</v>
      </c>
      <c r="E106" s="1">
        <v>44.0</v>
      </c>
      <c r="F106" s="1">
        <v>24.1</v>
      </c>
      <c r="G106" s="1">
        <v>20.0</v>
      </c>
    </row>
    <row r="107">
      <c r="A107" s="1" t="s">
        <v>119</v>
      </c>
      <c r="B107" s="1">
        <v>8.1</v>
      </c>
      <c r="C107" s="1">
        <v>4.6</v>
      </c>
      <c r="D107" s="1">
        <v>82.1</v>
      </c>
      <c r="E107" s="1">
        <v>76.0</v>
      </c>
      <c r="F107" s="1">
        <v>38.2</v>
      </c>
      <c r="G107" s="1">
        <v>23.0</v>
      </c>
    </row>
    <row r="108">
      <c r="A108" s="1" t="s">
        <v>120</v>
      </c>
      <c r="B108" s="1">
        <v>2.2</v>
      </c>
      <c r="C108" s="1">
        <v>5.5</v>
      </c>
      <c r="D108" s="1">
        <v>56.8</v>
      </c>
      <c r="E108" s="1">
        <v>80.0</v>
      </c>
      <c r="F108" s="1">
        <v>23.7</v>
      </c>
      <c r="G108" s="1">
        <v>25.0</v>
      </c>
    </row>
    <row r="109">
      <c r="A109" s="1" t="s">
        <v>121</v>
      </c>
      <c r="B109" s="1">
        <v>5.8</v>
      </c>
      <c r="C109" s="1">
        <v>8.5</v>
      </c>
      <c r="D109" s="1">
        <v>73.1</v>
      </c>
      <c r="E109" s="1">
        <v>83.0</v>
      </c>
      <c r="F109" s="1">
        <v>39.2</v>
      </c>
      <c r="G109" s="1">
        <v>24.0</v>
      </c>
    </row>
    <row r="110">
      <c r="A110" s="1" t="s">
        <v>122</v>
      </c>
      <c r="B110" s="1">
        <v>6.0</v>
      </c>
      <c r="C110" s="1">
        <v>8.0</v>
      </c>
      <c r="D110" s="1">
        <v>52.5</v>
      </c>
      <c r="E110" s="1">
        <v>43.0</v>
      </c>
      <c r="F110" s="1">
        <v>23.2</v>
      </c>
      <c r="G110" s="1">
        <v>26.0</v>
      </c>
    </row>
    <row r="111">
      <c r="A111" s="1" t="s">
        <v>123</v>
      </c>
      <c r="B111" s="1">
        <v>11.5</v>
      </c>
      <c r="C111" s="1">
        <v>8.3</v>
      </c>
      <c r="D111" s="1">
        <v>69.0</v>
      </c>
      <c r="E111" s="1">
        <v>49.0</v>
      </c>
      <c r="F111" s="1">
        <v>42.2</v>
      </c>
      <c r="G111" s="1">
        <v>28.0</v>
      </c>
    </row>
    <row r="112">
      <c r="A112" s="1" t="s">
        <v>124</v>
      </c>
      <c r="B112" s="1">
        <v>10.6</v>
      </c>
      <c r="C112" s="1">
        <v>8.5</v>
      </c>
      <c r="D112" s="1">
        <v>60.6</v>
      </c>
      <c r="E112" s="1">
        <v>49.0</v>
      </c>
      <c r="F112" s="1">
        <v>39.6</v>
      </c>
      <c r="G112" s="1">
        <v>25.0</v>
      </c>
    </row>
    <row r="113">
      <c r="A113" s="1" t="s">
        <v>125</v>
      </c>
      <c r="B113" s="1">
        <v>3.9</v>
      </c>
      <c r="C113" s="1">
        <v>5.1</v>
      </c>
      <c r="D113" s="1">
        <v>66.3</v>
      </c>
      <c r="E113" s="1">
        <v>91.0</v>
      </c>
      <c r="F113" s="1">
        <v>34.8</v>
      </c>
      <c r="G113" s="1">
        <v>25.0</v>
      </c>
    </row>
    <row r="114">
      <c r="A114" s="1" t="s">
        <v>126</v>
      </c>
      <c r="B114" s="1">
        <v>6.5</v>
      </c>
      <c r="C114" s="1">
        <v>5.2</v>
      </c>
      <c r="D114" s="1">
        <v>88.1</v>
      </c>
      <c r="E114" s="1">
        <v>76.0</v>
      </c>
      <c r="F114" s="1">
        <v>34.6</v>
      </c>
      <c r="G114" s="1">
        <v>25.0</v>
      </c>
    </row>
    <row r="115">
      <c r="A115" s="1" t="s">
        <v>127</v>
      </c>
      <c r="B115" s="1">
        <v>3.0</v>
      </c>
      <c r="C115" s="1">
        <v>4.5</v>
      </c>
      <c r="D115" s="1">
        <v>69.0</v>
      </c>
      <c r="E115" s="1">
        <v>59.0</v>
      </c>
      <c r="F115" s="1">
        <v>26.4</v>
      </c>
      <c r="G115" s="1">
        <v>23.0</v>
      </c>
    </row>
    <row r="116">
      <c r="A116" s="1" t="s">
        <v>128</v>
      </c>
      <c r="B116" s="1">
        <v>11.0</v>
      </c>
      <c r="C116" s="1">
        <v>7.9</v>
      </c>
      <c r="D116" s="1">
        <v>87.6</v>
      </c>
      <c r="E116" s="1">
        <v>45.0</v>
      </c>
      <c r="F116" s="1">
        <v>43.1</v>
      </c>
      <c r="G116" s="1">
        <v>15.0</v>
      </c>
    </row>
    <row r="117">
      <c r="A117" s="1" t="s">
        <v>129</v>
      </c>
      <c r="B117" s="1">
        <v>10.6</v>
      </c>
      <c r="C117" s="1">
        <v>8.4</v>
      </c>
      <c r="D117" s="1">
        <v>91.6</v>
      </c>
      <c r="E117" s="1">
        <v>55.0</v>
      </c>
      <c r="F117" s="1">
        <v>46.4</v>
      </c>
      <c r="G117" s="1">
        <v>16.0</v>
      </c>
    </row>
    <row r="118">
      <c r="A118" s="1" t="s">
        <v>130</v>
      </c>
      <c r="B118" s="1">
        <v>4.3</v>
      </c>
      <c r="C118" s="1">
        <v>6.0</v>
      </c>
      <c r="D118" s="1">
        <v>62.6</v>
      </c>
      <c r="E118" s="1">
        <v>47.0</v>
      </c>
      <c r="F118" s="1">
        <v>25.2</v>
      </c>
      <c r="G118" s="1">
        <v>17.0</v>
      </c>
    </row>
    <row r="119">
      <c r="A119" s="1" t="s">
        <v>131</v>
      </c>
      <c r="B119" s="1">
        <v>8.0</v>
      </c>
      <c r="C119" s="1">
        <v>7.1</v>
      </c>
      <c r="D119" s="1">
        <v>54.1</v>
      </c>
      <c r="E119" s="1">
        <v>75.0</v>
      </c>
      <c r="F119" s="1">
        <v>31.3</v>
      </c>
      <c r="G119" s="1">
        <v>15.0</v>
      </c>
    </row>
    <row r="120">
      <c r="A120" s="1" t="s">
        <v>132</v>
      </c>
      <c r="B120" s="1">
        <v>7.7</v>
      </c>
      <c r="C120" s="1">
        <v>4.8</v>
      </c>
      <c r="D120" s="1">
        <v>51.0</v>
      </c>
      <c r="E120" s="1">
        <v>88.0</v>
      </c>
      <c r="F120" s="1">
        <v>35.8</v>
      </c>
      <c r="G120" s="1">
        <v>19.0</v>
      </c>
    </row>
    <row r="121">
      <c r="A121" s="1" t="s">
        <v>133</v>
      </c>
      <c r="B121" s="1">
        <v>2.7</v>
      </c>
      <c r="C121" s="1">
        <v>8.6</v>
      </c>
      <c r="D121" s="1">
        <v>77.0</v>
      </c>
      <c r="E121" s="1">
        <v>66.0</v>
      </c>
      <c r="F121" s="1">
        <v>29.8</v>
      </c>
      <c r="G121" s="1">
        <v>18.0</v>
      </c>
    </row>
    <row r="122">
      <c r="A122" s="1" t="s">
        <v>134</v>
      </c>
      <c r="B122" s="1">
        <v>9.4</v>
      </c>
      <c r="C122" s="1">
        <v>8.3</v>
      </c>
      <c r="D122" s="1">
        <v>100.0</v>
      </c>
      <c r="E122" s="1">
        <v>78.0</v>
      </c>
      <c r="F122" s="1">
        <v>47.9</v>
      </c>
      <c r="G122" s="1">
        <v>14.0</v>
      </c>
    </row>
    <row r="123">
      <c r="A123" s="1" t="s">
        <v>135</v>
      </c>
      <c r="B123" s="1">
        <v>6.9</v>
      </c>
      <c r="C123" s="1">
        <v>8.9</v>
      </c>
      <c r="D123" s="1">
        <v>67.5</v>
      </c>
      <c r="E123" s="1">
        <v>78.0</v>
      </c>
      <c r="F123" s="1">
        <v>40.9</v>
      </c>
      <c r="G123" s="1">
        <v>17.0</v>
      </c>
    </row>
    <row r="124">
      <c r="A124" s="1" t="s">
        <v>136</v>
      </c>
      <c r="B124" s="1">
        <v>9.6</v>
      </c>
      <c r="C124" s="1">
        <v>8.1</v>
      </c>
      <c r="D124" s="1">
        <v>82.5</v>
      </c>
      <c r="E124" s="1">
        <v>90.0</v>
      </c>
      <c r="F124" s="1">
        <v>44.1</v>
      </c>
      <c r="G124" s="1">
        <v>20.0</v>
      </c>
    </row>
    <row r="125">
      <c r="A125" s="1" t="s">
        <v>137</v>
      </c>
      <c r="B125" s="1">
        <v>6.8</v>
      </c>
      <c r="C125" s="1">
        <v>8.4</v>
      </c>
      <c r="D125" s="1">
        <v>89.1</v>
      </c>
      <c r="E125" s="1">
        <v>79.0</v>
      </c>
      <c r="F125" s="1">
        <v>39.3</v>
      </c>
      <c r="G125" s="1">
        <v>20.0</v>
      </c>
    </row>
    <row r="126">
      <c r="A126" s="1" t="s">
        <v>138</v>
      </c>
      <c r="B126" s="1">
        <v>1.0</v>
      </c>
      <c r="C126" s="1">
        <v>4.1</v>
      </c>
      <c r="D126" s="1">
        <v>82.6</v>
      </c>
      <c r="E126" s="1">
        <v>54.0</v>
      </c>
      <c r="F126" s="1">
        <v>21.2</v>
      </c>
      <c r="G126" s="1">
        <v>23.0</v>
      </c>
    </row>
    <row r="127">
      <c r="A127" s="1" t="s">
        <v>139</v>
      </c>
      <c r="B127" s="1">
        <v>4.6</v>
      </c>
      <c r="C127" s="1">
        <v>7.7</v>
      </c>
      <c r="D127" s="1">
        <v>87.7</v>
      </c>
      <c r="E127" s="1">
        <v>89.0</v>
      </c>
      <c r="F127" s="1">
        <v>38.6</v>
      </c>
      <c r="G127" s="1">
        <v>25.0</v>
      </c>
    </row>
    <row r="128">
      <c r="A128" s="1" t="s">
        <v>140</v>
      </c>
      <c r="B128" s="1">
        <v>1.2</v>
      </c>
      <c r="C128" s="1">
        <v>5.7</v>
      </c>
      <c r="D128" s="1">
        <v>97.5</v>
      </c>
      <c r="E128" s="1">
        <v>73.0</v>
      </c>
      <c r="F128" s="1">
        <v>26.8</v>
      </c>
      <c r="G128" s="1">
        <v>24.0</v>
      </c>
    </row>
    <row r="129">
      <c r="A129" s="1" t="s">
        <v>141</v>
      </c>
      <c r="B129" s="1">
        <v>11.2</v>
      </c>
      <c r="C129" s="1">
        <v>8.7</v>
      </c>
      <c r="D129" s="1">
        <v>60.0</v>
      </c>
      <c r="E129" s="1">
        <v>64.0</v>
      </c>
      <c r="F129" s="1">
        <v>42.7</v>
      </c>
      <c r="G129" s="1">
        <v>26.0</v>
      </c>
    </row>
    <row r="130">
      <c r="A130" s="1" t="s">
        <v>142</v>
      </c>
      <c r="B130" s="1">
        <v>10.7</v>
      </c>
      <c r="C130" s="1">
        <v>8.0</v>
      </c>
      <c r="D130" s="1">
        <v>51.0</v>
      </c>
      <c r="E130" s="1">
        <v>68.0</v>
      </c>
      <c r="F130" s="1">
        <v>36.1</v>
      </c>
      <c r="G130" s="1">
        <v>28.0</v>
      </c>
    </row>
    <row r="131">
      <c r="A131" s="1" t="s">
        <v>143</v>
      </c>
      <c r="B131" s="1">
        <v>10.1</v>
      </c>
      <c r="C131" s="1">
        <v>8.3</v>
      </c>
      <c r="D131" s="1">
        <v>57.6</v>
      </c>
      <c r="E131" s="1">
        <v>68.0</v>
      </c>
      <c r="F131" s="1">
        <v>39.2</v>
      </c>
      <c r="G131" s="1">
        <v>25.0</v>
      </c>
    </row>
    <row r="132">
      <c r="A132" s="1" t="s">
        <v>144</v>
      </c>
      <c r="B132" s="1">
        <v>4.4</v>
      </c>
      <c r="C132" s="1">
        <v>8.1</v>
      </c>
      <c r="D132" s="1">
        <v>56.3</v>
      </c>
      <c r="E132" s="1">
        <v>59.0</v>
      </c>
      <c r="F132" s="1">
        <v>32.9</v>
      </c>
      <c r="G132" s="1">
        <v>25.0</v>
      </c>
    </row>
    <row r="133">
      <c r="A133" s="1" t="s">
        <v>145</v>
      </c>
      <c r="B133" s="1">
        <v>1.6</v>
      </c>
      <c r="C133" s="1">
        <v>5.3</v>
      </c>
      <c r="D133" s="1">
        <v>83.5</v>
      </c>
      <c r="E133" s="1">
        <v>95.0</v>
      </c>
      <c r="F133" s="1">
        <v>28.8</v>
      </c>
      <c r="G133" s="1">
        <v>25.0</v>
      </c>
    </row>
    <row r="134">
      <c r="A134" s="1" t="s">
        <v>146</v>
      </c>
      <c r="B134" s="1">
        <v>10.7</v>
      </c>
      <c r="C134" s="1">
        <v>7.9</v>
      </c>
      <c r="D134" s="1">
        <v>78.2</v>
      </c>
      <c r="E134" s="1">
        <v>77.0</v>
      </c>
      <c r="F134" s="1">
        <v>45.7</v>
      </c>
      <c r="G134" s="1">
        <v>23.0</v>
      </c>
    </row>
    <row r="135">
      <c r="A135" s="1" t="s">
        <v>147</v>
      </c>
      <c r="B135" s="1">
        <v>11.4</v>
      </c>
      <c r="C135" s="1">
        <v>4.5</v>
      </c>
      <c r="D135" s="1">
        <v>60.9</v>
      </c>
      <c r="E135" s="1">
        <v>67.0</v>
      </c>
      <c r="F135" s="1">
        <v>40.8</v>
      </c>
      <c r="G135" s="1">
        <v>15.0</v>
      </c>
    </row>
    <row r="136">
      <c r="A136" s="1" t="s">
        <v>148</v>
      </c>
      <c r="B136" s="1">
        <v>1.9</v>
      </c>
      <c r="C136" s="1">
        <v>8.4</v>
      </c>
      <c r="D136" s="1">
        <v>85.0</v>
      </c>
      <c r="E136" s="1">
        <v>59.0</v>
      </c>
      <c r="F136" s="1">
        <v>30.6</v>
      </c>
      <c r="G136" s="1">
        <v>16.0</v>
      </c>
    </row>
    <row r="137">
      <c r="A137" s="1" t="s">
        <v>149</v>
      </c>
      <c r="B137" s="1">
        <v>6.3</v>
      </c>
      <c r="C137" s="1">
        <v>8.3</v>
      </c>
      <c r="D137" s="1">
        <v>88.3</v>
      </c>
      <c r="E137" s="1">
        <v>76.0</v>
      </c>
      <c r="F137" s="1">
        <v>41.1</v>
      </c>
      <c r="G137" s="1">
        <v>17.0</v>
      </c>
    </row>
    <row r="138">
      <c r="A138" s="1" t="s">
        <v>150</v>
      </c>
      <c r="B138" s="1">
        <v>1.8</v>
      </c>
      <c r="C138" s="1">
        <v>5.1</v>
      </c>
      <c r="D138" s="1">
        <v>58.4</v>
      </c>
      <c r="E138" s="1">
        <v>79.0</v>
      </c>
      <c r="F138" s="1">
        <v>29.0</v>
      </c>
      <c r="G138" s="1">
        <v>15.0</v>
      </c>
    </row>
    <row r="139">
      <c r="A139" s="1" t="s">
        <v>151</v>
      </c>
      <c r="B139" s="1">
        <v>9.4</v>
      </c>
      <c r="C139" s="1">
        <v>8.1</v>
      </c>
      <c r="D139" s="1">
        <v>80.4</v>
      </c>
      <c r="E139" s="1">
        <v>43.0</v>
      </c>
      <c r="F139" s="1">
        <v>35.1</v>
      </c>
      <c r="G139" s="1">
        <v>19.0</v>
      </c>
    </row>
    <row r="140">
      <c r="A140" s="1" t="s">
        <v>152</v>
      </c>
      <c r="B140" s="1">
        <v>9.4</v>
      </c>
      <c r="C140" s="1">
        <v>6.3</v>
      </c>
      <c r="D140" s="1">
        <v>87.4</v>
      </c>
      <c r="E140" s="1">
        <v>79.0</v>
      </c>
      <c r="F140" s="1">
        <v>39.9</v>
      </c>
      <c r="G140" s="1">
        <v>18.0</v>
      </c>
    </row>
    <row r="141">
      <c r="A141" s="1" t="s">
        <v>153</v>
      </c>
      <c r="B141" s="1">
        <v>2.4</v>
      </c>
      <c r="C141" s="1">
        <v>5.5</v>
      </c>
      <c r="D141" s="1">
        <v>55.7</v>
      </c>
      <c r="E141" s="1">
        <v>87.0</v>
      </c>
      <c r="F141" s="1">
        <v>29.9</v>
      </c>
      <c r="G141" s="1">
        <v>14.0</v>
      </c>
    </row>
    <row r="142">
      <c r="A142" s="1" t="s">
        <v>154</v>
      </c>
      <c r="B142" s="1">
        <v>6.2</v>
      </c>
      <c r="C142" s="1">
        <v>8.0</v>
      </c>
      <c r="D142" s="1">
        <v>91.0</v>
      </c>
      <c r="E142" s="1">
        <v>46.0</v>
      </c>
      <c r="F142" s="1">
        <v>35.0</v>
      </c>
      <c r="G142" s="1">
        <v>17.0</v>
      </c>
    </row>
    <row r="143">
      <c r="A143" s="1" t="s">
        <v>155</v>
      </c>
      <c r="B143" s="1">
        <v>7.0</v>
      </c>
      <c r="C143" s="1">
        <v>5.1</v>
      </c>
      <c r="D143" s="1">
        <v>98.2</v>
      </c>
      <c r="E143" s="1">
        <v>88.0</v>
      </c>
      <c r="F143" s="1">
        <v>43.3</v>
      </c>
      <c r="G143" s="1">
        <v>20.0</v>
      </c>
    </row>
    <row r="144">
      <c r="A144" s="1" t="s">
        <v>156</v>
      </c>
      <c r="B144" s="1">
        <v>3.9</v>
      </c>
      <c r="C144" s="1">
        <v>4.1</v>
      </c>
      <c r="D144" s="1">
        <v>55.4</v>
      </c>
      <c r="E144" s="1">
        <v>53.0</v>
      </c>
      <c r="F144" s="1">
        <v>19.0</v>
      </c>
      <c r="G144" s="1">
        <v>20.0</v>
      </c>
    </row>
    <row r="145">
      <c r="A145" s="1" t="s">
        <v>157</v>
      </c>
      <c r="B145" s="1">
        <v>10.6</v>
      </c>
      <c r="C145" s="1">
        <v>5.0</v>
      </c>
      <c r="D145" s="1">
        <v>51.3</v>
      </c>
      <c r="E145" s="1">
        <v>80.0</v>
      </c>
      <c r="F145" s="1">
        <v>35.1</v>
      </c>
      <c r="G145" s="1">
        <v>23.0</v>
      </c>
    </row>
    <row r="146">
      <c r="A146" s="1" t="s">
        <v>158</v>
      </c>
      <c r="B146" s="1">
        <v>5.7</v>
      </c>
      <c r="C146" s="1">
        <v>5.6</v>
      </c>
      <c r="D146" s="1">
        <v>65.6</v>
      </c>
      <c r="E146" s="1">
        <v>53.0</v>
      </c>
      <c r="F146" s="1">
        <v>29.9</v>
      </c>
      <c r="G146" s="1">
        <v>25.0</v>
      </c>
    </row>
    <row r="147">
      <c r="A147" s="1" t="s">
        <v>159</v>
      </c>
      <c r="B147" s="1">
        <v>3.3</v>
      </c>
      <c r="C147" s="1">
        <v>8.3</v>
      </c>
      <c r="D147" s="1">
        <v>83.9</v>
      </c>
      <c r="E147" s="1">
        <v>56.0</v>
      </c>
      <c r="F147" s="1">
        <v>33.0</v>
      </c>
      <c r="G147" s="1">
        <v>24.0</v>
      </c>
    </row>
    <row r="148">
      <c r="A148" s="1" t="s">
        <v>160</v>
      </c>
      <c r="B148" s="1">
        <v>6.9</v>
      </c>
      <c r="C148" s="1">
        <v>8.8</v>
      </c>
      <c r="D148" s="1">
        <v>97.9</v>
      </c>
      <c r="E148" s="1">
        <v>82.0</v>
      </c>
      <c r="F148" s="1">
        <v>45.8</v>
      </c>
      <c r="G148" s="1">
        <v>26.0</v>
      </c>
    </row>
    <row r="149">
      <c r="A149" s="1" t="s">
        <v>161</v>
      </c>
      <c r="B149" s="1">
        <v>9.0</v>
      </c>
      <c r="C149" s="1">
        <v>5.4</v>
      </c>
      <c r="D149" s="1">
        <v>69.8</v>
      </c>
      <c r="E149" s="1">
        <v>45.0</v>
      </c>
      <c r="F149" s="1">
        <v>35.5</v>
      </c>
      <c r="G149" s="1">
        <v>28.0</v>
      </c>
    </row>
    <row r="150">
      <c r="A150" s="1" t="s">
        <v>162</v>
      </c>
      <c r="B150" s="1">
        <v>3.2</v>
      </c>
      <c r="C150" s="1">
        <v>7.2</v>
      </c>
      <c r="D150" s="1">
        <v>85.8</v>
      </c>
      <c r="E150" s="1">
        <v>50.0</v>
      </c>
      <c r="F150" s="1">
        <v>26.4</v>
      </c>
      <c r="G150" s="1">
        <v>25.0</v>
      </c>
    </row>
    <row r="151">
      <c r="A151" s="1" t="s">
        <v>163</v>
      </c>
      <c r="B151" s="1">
        <v>4.4</v>
      </c>
      <c r="C151" s="1">
        <v>6.0</v>
      </c>
      <c r="D151" s="1">
        <v>53.8</v>
      </c>
      <c r="E151" s="1">
        <v>55.0</v>
      </c>
      <c r="F151" s="1">
        <v>21.9</v>
      </c>
      <c r="G151" s="1">
        <v>25.0</v>
      </c>
    </row>
    <row r="152">
      <c r="A152" s="1" t="s">
        <v>164</v>
      </c>
      <c r="B152" s="1">
        <v>11.9</v>
      </c>
      <c r="C152" s="1">
        <v>8.9</v>
      </c>
      <c r="D152" s="1">
        <v>84.5</v>
      </c>
      <c r="E152" s="1">
        <v>51.0</v>
      </c>
      <c r="F152" s="1">
        <v>44.1</v>
      </c>
      <c r="G152" s="1">
        <v>25.0</v>
      </c>
    </row>
    <row r="153">
      <c r="A153" s="1" t="s">
        <v>165</v>
      </c>
      <c r="B153" s="1">
        <v>8.1</v>
      </c>
      <c r="C153" s="1">
        <v>6.7</v>
      </c>
      <c r="D153" s="1">
        <v>81.4</v>
      </c>
      <c r="E153" s="1">
        <v>75.0</v>
      </c>
      <c r="F153" s="1">
        <v>42.3</v>
      </c>
      <c r="G153" s="1">
        <v>23.0</v>
      </c>
    </row>
    <row r="154">
      <c r="A154" s="1" t="s">
        <v>166</v>
      </c>
      <c r="B154" s="1">
        <v>5.8</v>
      </c>
      <c r="C154" s="1">
        <v>8.7</v>
      </c>
      <c r="D154" s="1">
        <v>55.1</v>
      </c>
      <c r="E154" s="1">
        <v>44.0</v>
      </c>
      <c r="F154" s="1">
        <v>27.7</v>
      </c>
      <c r="G154" s="1">
        <v>15.0</v>
      </c>
    </row>
    <row r="155">
      <c r="A155" s="1" t="s">
        <v>167</v>
      </c>
      <c r="B155" s="1">
        <v>6.7</v>
      </c>
      <c r="C155" s="1">
        <v>4.6</v>
      </c>
      <c r="D155" s="1">
        <v>88.6</v>
      </c>
      <c r="E155" s="1">
        <v>50.0</v>
      </c>
      <c r="F155" s="1">
        <v>33.4</v>
      </c>
      <c r="G155" s="1">
        <v>16.0</v>
      </c>
    </row>
    <row r="156">
      <c r="A156" s="1" t="s">
        <v>168</v>
      </c>
      <c r="B156" s="1">
        <v>2.3</v>
      </c>
      <c r="C156" s="1">
        <v>8.9</v>
      </c>
      <c r="D156" s="1">
        <v>92.5</v>
      </c>
      <c r="E156" s="1">
        <v>40.0</v>
      </c>
      <c r="F156" s="1">
        <v>29.7</v>
      </c>
      <c r="G156" s="1">
        <v>17.0</v>
      </c>
    </row>
    <row r="157">
      <c r="A157" s="1" t="s">
        <v>169</v>
      </c>
      <c r="B157" s="1">
        <v>3.5</v>
      </c>
      <c r="C157" s="1">
        <v>4.9</v>
      </c>
      <c r="D157" s="1">
        <v>80.0</v>
      </c>
      <c r="E157" s="1">
        <v>66.0</v>
      </c>
      <c r="F157" s="1">
        <v>23.6</v>
      </c>
      <c r="G157" s="1">
        <v>15.0</v>
      </c>
    </row>
    <row r="158">
      <c r="A158" s="1" t="s">
        <v>170</v>
      </c>
      <c r="B158" s="1">
        <v>4.7</v>
      </c>
      <c r="C158" s="1">
        <v>8.8</v>
      </c>
      <c r="D158" s="1">
        <v>56.1</v>
      </c>
      <c r="E158" s="1">
        <v>68.0</v>
      </c>
      <c r="F158" s="1">
        <v>33.6</v>
      </c>
      <c r="G158" s="1">
        <v>19.0</v>
      </c>
    </row>
    <row r="159">
      <c r="A159" s="1" t="s">
        <v>171</v>
      </c>
      <c r="B159" s="1">
        <v>7.5</v>
      </c>
      <c r="C159" s="1">
        <v>5.3</v>
      </c>
      <c r="D159" s="1">
        <v>99.2</v>
      </c>
      <c r="E159" s="1">
        <v>84.0</v>
      </c>
      <c r="F159" s="1">
        <v>37.9</v>
      </c>
      <c r="G159" s="1">
        <v>18.0</v>
      </c>
    </row>
    <row r="160">
      <c r="A160" s="1" t="s">
        <v>172</v>
      </c>
      <c r="B160" s="1">
        <v>3.5</v>
      </c>
      <c r="C160" s="1">
        <v>4.5</v>
      </c>
      <c r="D160" s="1">
        <v>89.1</v>
      </c>
      <c r="E160" s="1">
        <v>78.0</v>
      </c>
      <c r="F160" s="1">
        <v>29.5</v>
      </c>
      <c r="G160" s="1">
        <v>14.0</v>
      </c>
    </row>
    <row r="161">
      <c r="A161" s="1" t="s">
        <v>173</v>
      </c>
      <c r="B161" s="1">
        <v>3.4</v>
      </c>
      <c r="C161" s="1">
        <v>6.2</v>
      </c>
      <c r="D161" s="1">
        <v>67.4</v>
      </c>
      <c r="E161" s="1">
        <v>70.0</v>
      </c>
      <c r="F161" s="1">
        <v>24.7</v>
      </c>
      <c r="G161" s="1">
        <v>17.0</v>
      </c>
    </row>
    <row r="162">
      <c r="A162" s="1" t="s">
        <v>174</v>
      </c>
      <c r="B162" s="1">
        <v>1.8</v>
      </c>
      <c r="C162" s="1">
        <v>7.6</v>
      </c>
      <c r="D162" s="1">
        <v>71.4</v>
      </c>
      <c r="E162" s="1">
        <v>58.0</v>
      </c>
      <c r="F162" s="1">
        <v>25.2</v>
      </c>
      <c r="G162" s="1">
        <v>20.0</v>
      </c>
    </row>
    <row r="163">
      <c r="A163" s="1" t="s">
        <v>175</v>
      </c>
      <c r="B163" s="1">
        <v>7.9</v>
      </c>
      <c r="C163" s="1">
        <v>5.6</v>
      </c>
      <c r="D163" s="1">
        <v>68.5</v>
      </c>
      <c r="E163" s="1">
        <v>42.0</v>
      </c>
      <c r="F163" s="1">
        <v>31.4</v>
      </c>
      <c r="G163" s="1">
        <v>20.0</v>
      </c>
    </row>
    <row r="164">
      <c r="A164" s="1" t="s">
        <v>176</v>
      </c>
      <c r="B164" s="1">
        <v>3.5</v>
      </c>
      <c r="C164" s="1">
        <v>7.0</v>
      </c>
      <c r="D164" s="1">
        <v>75.3</v>
      </c>
      <c r="E164" s="1">
        <v>54.0</v>
      </c>
      <c r="F164" s="1">
        <v>30.0</v>
      </c>
      <c r="G164" s="1">
        <v>23.0</v>
      </c>
    </row>
    <row r="165">
      <c r="A165" s="1" t="s">
        <v>177</v>
      </c>
      <c r="B165" s="1">
        <v>11.0</v>
      </c>
      <c r="C165" s="1">
        <v>6.6</v>
      </c>
      <c r="D165" s="1">
        <v>67.1</v>
      </c>
      <c r="E165" s="1">
        <v>58.0</v>
      </c>
      <c r="F165" s="1">
        <v>35.8</v>
      </c>
      <c r="G165" s="1">
        <v>25.0</v>
      </c>
    </row>
    <row r="166">
      <c r="A166" s="1" t="s">
        <v>178</v>
      </c>
      <c r="B166" s="1">
        <v>10.5</v>
      </c>
      <c r="C166" s="1">
        <v>5.9</v>
      </c>
      <c r="D166" s="1">
        <v>92.5</v>
      </c>
      <c r="E166" s="1">
        <v>85.0</v>
      </c>
      <c r="F166" s="1">
        <v>40.6</v>
      </c>
      <c r="G166" s="1">
        <v>24.0</v>
      </c>
    </row>
    <row r="167">
      <c r="A167" s="1" t="s">
        <v>179</v>
      </c>
      <c r="B167" s="1">
        <v>1.8</v>
      </c>
      <c r="C167" s="1">
        <v>6.9</v>
      </c>
      <c r="D167" s="1">
        <v>91.1</v>
      </c>
      <c r="E167" s="1">
        <v>58.0</v>
      </c>
      <c r="F167" s="1">
        <v>30.1</v>
      </c>
      <c r="G167" s="1">
        <v>26.0</v>
      </c>
    </row>
    <row r="168">
      <c r="A168" s="1" t="s">
        <v>180</v>
      </c>
      <c r="B168" s="1">
        <v>3.6</v>
      </c>
      <c r="C168" s="1">
        <v>5.3</v>
      </c>
      <c r="D168" s="1">
        <v>55.3</v>
      </c>
      <c r="E168" s="1">
        <v>84.0</v>
      </c>
      <c r="F168" s="1">
        <v>30.3</v>
      </c>
      <c r="G168" s="1">
        <v>28.0</v>
      </c>
    </row>
    <row r="169">
      <c r="A169" s="1" t="s">
        <v>181</v>
      </c>
      <c r="B169" s="1">
        <v>8.4</v>
      </c>
      <c r="C169" s="1">
        <v>7.5</v>
      </c>
      <c r="D169" s="1">
        <v>98.0</v>
      </c>
      <c r="E169" s="1">
        <v>95.0</v>
      </c>
      <c r="F169" s="1">
        <v>42.0</v>
      </c>
      <c r="G169" s="1">
        <v>25.0</v>
      </c>
    </row>
    <row r="170">
      <c r="A170" s="1" t="s">
        <v>182</v>
      </c>
      <c r="B170" s="1">
        <v>3.4</v>
      </c>
      <c r="C170" s="1">
        <v>4.0</v>
      </c>
      <c r="D170" s="1">
        <v>81.8</v>
      </c>
      <c r="E170" s="1">
        <v>69.0</v>
      </c>
      <c r="F170" s="1">
        <v>32.1</v>
      </c>
      <c r="G170" s="1">
        <v>25.0</v>
      </c>
    </row>
    <row r="171">
      <c r="A171" s="1" t="s">
        <v>183</v>
      </c>
      <c r="B171" s="1">
        <v>2.5</v>
      </c>
      <c r="C171" s="1">
        <v>8.6</v>
      </c>
      <c r="D171" s="1">
        <v>91.4</v>
      </c>
      <c r="E171" s="1">
        <v>44.0</v>
      </c>
      <c r="F171" s="1">
        <v>22.8</v>
      </c>
      <c r="G171" s="1">
        <v>25.0</v>
      </c>
    </row>
    <row r="172">
      <c r="A172" s="1" t="s">
        <v>184</v>
      </c>
      <c r="B172" s="1">
        <v>11.3</v>
      </c>
      <c r="C172" s="1">
        <v>6.7</v>
      </c>
      <c r="D172" s="1">
        <v>85.4</v>
      </c>
      <c r="E172" s="1">
        <v>83.0</v>
      </c>
      <c r="F172" s="1">
        <v>45.3</v>
      </c>
      <c r="G172" s="1">
        <v>23.0</v>
      </c>
    </row>
    <row r="173">
      <c r="A173" s="1" t="s">
        <v>185</v>
      </c>
      <c r="B173" s="1">
        <v>7.3</v>
      </c>
      <c r="C173" s="1">
        <v>7.6</v>
      </c>
      <c r="D173" s="1">
        <v>71.8</v>
      </c>
      <c r="E173" s="1">
        <v>54.0</v>
      </c>
      <c r="F173" s="1">
        <v>31.0</v>
      </c>
      <c r="G173" s="1">
        <v>15.0</v>
      </c>
    </row>
    <row r="174">
      <c r="A174" s="1" t="s">
        <v>186</v>
      </c>
      <c r="B174" s="1">
        <v>6.2</v>
      </c>
      <c r="C174" s="1">
        <v>7.7</v>
      </c>
      <c r="D174" s="1">
        <v>86.7</v>
      </c>
      <c r="E174" s="1">
        <v>56.0</v>
      </c>
      <c r="F174" s="1">
        <v>31.0</v>
      </c>
      <c r="G174" s="1">
        <v>16.0</v>
      </c>
    </row>
    <row r="175">
      <c r="A175" s="1" t="s">
        <v>187</v>
      </c>
      <c r="B175" s="1">
        <v>9.6</v>
      </c>
      <c r="C175" s="1">
        <v>7.4</v>
      </c>
      <c r="D175" s="1">
        <v>98.3</v>
      </c>
      <c r="E175" s="1">
        <v>90.0</v>
      </c>
      <c r="F175" s="1">
        <v>40.9</v>
      </c>
      <c r="G175" s="1">
        <v>17.0</v>
      </c>
    </row>
    <row r="176">
      <c r="A176" s="1" t="s">
        <v>188</v>
      </c>
      <c r="B176" s="1">
        <v>9.9</v>
      </c>
      <c r="C176" s="1">
        <v>5.8</v>
      </c>
      <c r="D176" s="1">
        <v>63.5</v>
      </c>
      <c r="E176" s="1">
        <v>90.0</v>
      </c>
      <c r="F176" s="1">
        <v>44.8</v>
      </c>
      <c r="G176" s="1">
        <v>15.0</v>
      </c>
    </row>
    <row r="177">
      <c r="A177" s="1" t="s">
        <v>189</v>
      </c>
      <c r="B177" s="1">
        <v>3.1</v>
      </c>
      <c r="C177" s="1">
        <v>4.3</v>
      </c>
      <c r="D177" s="1">
        <v>90.4</v>
      </c>
      <c r="E177" s="1">
        <v>80.0</v>
      </c>
      <c r="F177" s="1">
        <v>34.4</v>
      </c>
      <c r="G177" s="1">
        <v>19.0</v>
      </c>
    </row>
    <row r="178">
      <c r="A178" s="1" t="s">
        <v>190</v>
      </c>
      <c r="B178" s="1">
        <v>2.1</v>
      </c>
      <c r="C178" s="1">
        <v>7.3</v>
      </c>
      <c r="D178" s="1">
        <v>76.9</v>
      </c>
      <c r="E178" s="1">
        <v>77.0</v>
      </c>
      <c r="F178" s="1">
        <v>30.7</v>
      </c>
      <c r="G178" s="1">
        <v>18.0</v>
      </c>
    </row>
    <row r="179">
      <c r="A179" s="1" t="s">
        <v>191</v>
      </c>
      <c r="B179" s="1">
        <v>5.7</v>
      </c>
      <c r="C179" s="1">
        <v>5.7</v>
      </c>
      <c r="D179" s="1">
        <v>74.2</v>
      </c>
      <c r="E179" s="1">
        <v>82.0</v>
      </c>
      <c r="F179" s="1">
        <v>31.0</v>
      </c>
      <c r="G179" s="1">
        <v>14.0</v>
      </c>
    </row>
    <row r="180">
      <c r="A180" s="1" t="s">
        <v>192</v>
      </c>
      <c r="B180" s="1">
        <v>5.7</v>
      </c>
      <c r="C180" s="1">
        <v>5.6</v>
      </c>
      <c r="D180" s="1">
        <v>71.8</v>
      </c>
      <c r="E180" s="1">
        <v>91.0</v>
      </c>
      <c r="F180" s="1">
        <v>35.0</v>
      </c>
      <c r="G180" s="1">
        <v>17.0</v>
      </c>
    </row>
    <row r="181">
      <c r="A181" s="1" t="s">
        <v>193</v>
      </c>
      <c r="B181" s="1">
        <v>6.1</v>
      </c>
      <c r="C181" s="1">
        <v>8.2</v>
      </c>
      <c r="D181" s="1">
        <v>86.6</v>
      </c>
      <c r="E181" s="1">
        <v>52.0</v>
      </c>
      <c r="F181" s="1">
        <v>31.4</v>
      </c>
      <c r="G181" s="1">
        <v>20.0</v>
      </c>
    </row>
    <row r="182">
      <c r="A182" s="1" t="s">
        <v>194</v>
      </c>
      <c r="B182" s="1">
        <v>9.0</v>
      </c>
      <c r="C182" s="1">
        <v>7.6</v>
      </c>
      <c r="D182" s="1">
        <v>63.4</v>
      </c>
      <c r="E182" s="1">
        <v>67.0</v>
      </c>
      <c r="F182" s="1">
        <v>38.4</v>
      </c>
      <c r="G182" s="1">
        <v>20.0</v>
      </c>
    </row>
    <row r="183">
      <c r="A183" s="1" t="s">
        <v>195</v>
      </c>
      <c r="B183" s="1">
        <v>8.4</v>
      </c>
      <c r="C183" s="1">
        <v>5.5</v>
      </c>
      <c r="D183" s="1">
        <v>92.6</v>
      </c>
      <c r="E183" s="1">
        <v>47.0</v>
      </c>
      <c r="F183" s="1">
        <v>36.1</v>
      </c>
      <c r="G183" s="1">
        <v>23.0</v>
      </c>
    </row>
    <row r="184">
      <c r="A184" s="1" t="s">
        <v>196</v>
      </c>
      <c r="B184" s="1">
        <v>11.8</v>
      </c>
      <c r="C184" s="1">
        <v>5.5</v>
      </c>
      <c r="D184" s="1">
        <v>91.5</v>
      </c>
      <c r="E184" s="1">
        <v>74.0</v>
      </c>
      <c r="F184" s="1">
        <v>44.1</v>
      </c>
      <c r="G184" s="1">
        <v>25.0</v>
      </c>
    </row>
    <row r="185">
      <c r="A185" s="1" t="s">
        <v>197</v>
      </c>
      <c r="B185" s="1">
        <v>2.1</v>
      </c>
      <c r="C185" s="1">
        <v>6.0</v>
      </c>
      <c r="D185" s="1">
        <v>54.3</v>
      </c>
      <c r="E185" s="1">
        <v>54.0</v>
      </c>
      <c r="F185" s="1">
        <v>19.4</v>
      </c>
      <c r="G185" s="1">
        <v>24.0</v>
      </c>
    </row>
    <row r="186">
      <c r="A186" s="1" t="s">
        <v>198</v>
      </c>
      <c r="B186" s="1">
        <v>5.4</v>
      </c>
      <c r="C186" s="1">
        <v>6.0</v>
      </c>
      <c r="D186" s="1">
        <v>94.1</v>
      </c>
      <c r="E186" s="1">
        <v>81.0</v>
      </c>
      <c r="F186" s="1">
        <v>39.4</v>
      </c>
      <c r="G186" s="1">
        <v>26.0</v>
      </c>
    </row>
    <row r="187">
      <c r="A187" s="1" t="s">
        <v>199</v>
      </c>
      <c r="B187" s="1">
        <v>4.7</v>
      </c>
      <c r="C187" s="1">
        <v>5.5</v>
      </c>
      <c r="D187" s="1">
        <v>62.2</v>
      </c>
      <c r="E187" s="1">
        <v>49.0</v>
      </c>
      <c r="F187" s="1">
        <v>22.9</v>
      </c>
      <c r="G187" s="1">
        <v>28.0</v>
      </c>
    </row>
    <row r="188">
      <c r="A188" s="1" t="s">
        <v>200</v>
      </c>
      <c r="B188" s="1">
        <v>10.5</v>
      </c>
      <c r="C188" s="1">
        <v>4.6</v>
      </c>
      <c r="D188" s="1">
        <v>73.2</v>
      </c>
      <c r="E188" s="1">
        <v>57.0</v>
      </c>
      <c r="F188" s="1">
        <v>36.2</v>
      </c>
      <c r="G188" s="1">
        <v>25.0</v>
      </c>
    </row>
    <row r="189">
      <c r="A189" s="1" t="s">
        <v>201</v>
      </c>
      <c r="B189" s="1">
        <v>3.7</v>
      </c>
      <c r="C189" s="1">
        <v>6.1</v>
      </c>
      <c r="D189" s="1">
        <v>80.5</v>
      </c>
      <c r="E189" s="1">
        <v>92.0</v>
      </c>
      <c r="F189" s="1">
        <v>33.4</v>
      </c>
      <c r="G189" s="1">
        <v>25.0</v>
      </c>
    </row>
    <row r="190">
      <c r="A190" s="1" t="s">
        <v>202</v>
      </c>
      <c r="B190" s="1">
        <v>3.1</v>
      </c>
      <c r="C190" s="1">
        <v>8.7</v>
      </c>
      <c r="D190" s="1">
        <v>68.9</v>
      </c>
      <c r="E190" s="1">
        <v>49.0</v>
      </c>
      <c r="F190" s="1">
        <v>23.4</v>
      </c>
      <c r="G190" s="1">
        <v>25.0</v>
      </c>
    </row>
    <row r="191">
      <c r="A191" s="1" t="s">
        <v>203</v>
      </c>
      <c r="B191" s="1">
        <v>5.9</v>
      </c>
      <c r="C191" s="1">
        <v>7.4</v>
      </c>
      <c r="D191" s="1">
        <v>51.4</v>
      </c>
      <c r="E191" s="1">
        <v>44.0</v>
      </c>
      <c r="F191" s="1">
        <v>28.0</v>
      </c>
      <c r="G191" s="1">
        <v>23.0</v>
      </c>
    </row>
    <row r="192">
      <c r="A192" s="1" t="s">
        <v>204</v>
      </c>
      <c r="B192" s="1">
        <v>5.6</v>
      </c>
      <c r="C192" s="1">
        <v>8.5</v>
      </c>
      <c r="D192" s="1">
        <v>92.5</v>
      </c>
      <c r="E192" s="1">
        <v>43.0</v>
      </c>
      <c r="F192" s="1">
        <v>32.2</v>
      </c>
      <c r="G192" s="1">
        <v>15.0</v>
      </c>
    </row>
    <row r="193">
      <c r="A193" s="1" t="s">
        <v>205</v>
      </c>
      <c r="B193" s="1">
        <v>4.1</v>
      </c>
      <c r="C193" s="1">
        <v>7.1</v>
      </c>
      <c r="D193" s="1">
        <v>59.1</v>
      </c>
      <c r="E193" s="1">
        <v>50.0</v>
      </c>
      <c r="F193" s="1">
        <v>30.7</v>
      </c>
      <c r="G193" s="1">
        <v>16.0</v>
      </c>
    </row>
    <row r="194">
      <c r="A194" s="1" t="s">
        <v>206</v>
      </c>
      <c r="B194" s="1">
        <v>3.7</v>
      </c>
      <c r="C194" s="1">
        <v>5.5</v>
      </c>
      <c r="D194" s="1">
        <v>60.6</v>
      </c>
      <c r="E194" s="1">
        <v>90.0</v>
      </c>
      <c r="F194" s="1">
        <v>28.8</v>
      </c>
      <c r="G194" s="1">
        <v>17.0</v>
      </c>
    </row>
    <row r="195">
      <c r="A195" s="1" t="s">
        <v>207</v>
      </c>
      <c r="B195" s="1">
        <v>11.2</v>
      </c>
      <c r="C195" s="1">
        <v>6.7</v>
      </c>
      <c r="D195" s="1">
        <v>89.9</v>
      </c>
      <c r="E195" s="1">
        <v>59.0</v>
      </c>
      <c r="F195" s="1">
        <v>46.7</v>
      </c>
      <c r="G195" s="1">
        <v>15.0</v>
      </c>
    </row>
    <row r="196">
      <c r="A196" s="1" t="s">
        <v>208</v>
      </c>
      <c r="B196" s="1">
        <v>5.9</v>
      </c>
      <c r="C196" s="1">
        <v>4.0</v>
      </c>
      <c r="D196" s="1">
        <v>67.0</v>
      </c>
      <c r="E196" s="1">
        <v>78.0</v>
      </c>
      <c r="F196" s="1">
        <v>33.8</v>
      </c>
      <c r="G196" s="1">
        <v>19.0</v>
      </c>
    </row>
    <row r="197">
      <c r="A197" s="1" t="s">
        <v>209</v>
      </c>
      <c r="B197" s="1">
        <v>10.5</v>
      </c>
      <c r="C197" s="1">
        <v>5.4</v>
      </c>
      <c r="D197" s="1">
        <v>94.0</v>
      </c>
      <c r="E197" s="1">
        <v>87.0</v>
      </c>
      <c r="F197" s="1">
        <v>42.7</v>
      </c>
      <c r="G197" s="1">
        <v>18.0</v>
      </c>
    </row>
    <row r="198">
      <c r="A198" s="1" t="s">
        <v>210</v>
      </c>
      <c r="B198" s="1">
        <v>7.1</v>
      </c>
      <c r="C198" s="1">
        <v>6.1</v>
      </c>
      <c r="D198" s="1">
        <v>85.1</v>
      </c>
      <c r="E198" s="1">
        <v>92.0</v>
      </c>
      <c r="F198" s="1">
        <v>40.4</v>
      </c>
      <c r="G198" s="1">
        <v>14.0</v>
      </c>
    </row>
    <row r="199">
      <c r="A199" s="1" t="s">
        <v>211</v>
      </c>
      <c r="B199" s="1">
        <v>1.6</v>
      </c>
      <c r="C199" s="1">
        <v>6.9</v>
      </c>
      <c r="D199" s="1">
        <v>63.8</v>
      </c>
      <c r="E199" s="1">
        <v>76.0</v>
      </c>
      <c r="F199" s="1">
        <v>28.2</v>
      </c>
      <c r="G199" s="1">
        <v>17.0</v>
      </c>
    </row>
    <row r="200">
      <c r="A200" s="1" t="s">
        <v>212</v>
      </c>
      <c r="B200" s="1">
        <v>12.0</v>
      </c>
      <c r="C200" s="1">
        <v>7.3</v>
      </c>
      <c r="D200" s="1">
        <v>50.5</v>
      </c>
      <c r="E200" s="1">
        <v>58.0</v>
      </c>
      <c r="F200" s="1">
        <v>42.0</v>
      </c>
      <c r="G200" s="1">
        <v>20.0</v>
      </c>
    </row>
    <row r="201">
      <c r="A201" s="1" t="s">
        <v>213</v>
      </c>
      <c r="B201" s="1">
        <v>10.2</v>
      </c>
      <c r="C201" s="1">
        <v>6.3</v>
      </c>
      <c r="D201" s="1">
        <v>97.4</v>
      </c>
      <c r="E201" s="1">
        <v>68.0</v>
      </c>
      <c r="F201" s="1">
        <v>37.8</v>
      </c>
      <c r="G201" s="1">
        <v>20.0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drawing r:id="rId1"/>
  <extLst>
    <ext uri="{3A4CF648-6AED-40f4-86FF-DC5316D8AED3}">
      <x14:slicerList>
        <x14:slicer r:id="rId2"/>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sheetData>
  <customSheetViews>
    <customSheetView guid="{272196DD-08AA-460E-BDD0-046E8102EF41}" filter="1" showAutoFilter="1">
      <autoFilter ref="$A$1:$B$255"/>
    </customSheetView>
    <customSheetView guid="{272196DD-08AA-460E-BDD0-046E8102EF41}" filter="1" showAutoFilter="1">
      <autoFilter ref="$A$1:$B$255"/>
    </customSheetView>
  </customSheetViews>
  <drawing r:id="rId2"/>
  <tableParts count="1">
    <tablePart r:id="rId4"/>
  </tableParts>
  <extLst>
    <ext uri="{3A4CF648-6AED-40f4-86FF-DC5316D8AED3}">
      <x14:slicerList>
        <x14:slicer r:id="rId5"/>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sheetData>
  <customSheetViews>
    <customSheetView guid="{272196DD-08AA-460E-BDD0-046E8102EF41}" filter="1" showAutoFilter="1">
      <autoFilter ref="$A$1:$B$367"/>
    </customSheetView>
    <customSheetView guid="{272196DD-08AA-460E-BDD0-046E8102EF41}" filter="1" showAutoFilter="1">
      <autoFilter ref="$A$1:$B$367"/>
    </customSheetView>
  </customSheetViews>
  <drawing r:id="rId2"/>
  <tableParts count="1">
    <tablePart r:id="rId4"/>
  </tableParts>
  <extLst>
    <ext uri="{3A4CF648-6AED-40f4-86FF-DC5316D8AED3}">
      <x14:slicerList>
        <x14:slicer r:id="rId5"/>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sheetData>
  <customSheetViews>
    <customSheetView guid="{272196DD-08AA-460E-BDD0-046E8102EF41}" filter="1" showAutoFilter="1">
      <autoFilter ref="$A$1:$B$284"/>
    </customSheetView>
    <customSheetView guid="{272196DD-08AA-460E-BDD0-046E8102EF41}" filter="1" showAutoFilter="1">
      <autoFilter ref="$A$1:$B$284"/>
    </customSheetView>
  </customSheetViews>
  <drawing r:id="rId2"/>
  <tableParts count="1">
    <tablePart r:id="rId4"/>
  </tableParts>
  <extLst>
    <ext uri="{3A4CF648-6AED-40f4-86FF-DC5316D8AED3}">
      <x14:slicerList>
        <x14:slicer r:id="rId5"/>
      </x14:slicerList>
    </ext>
  </extLst>
</worksheet>
</file>